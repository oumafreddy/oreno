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nyaredcross-my.sharepoint.com/personal/muthaura_mike_redcross_or_ke/Documents/Desktop/Audits/2025/Restricted/"/>
    </mc:Choice>
  </mc:AlternateContent>
  <xr:revisionPtr revIDLastSave="0" documentId="8_{EE4B3707-1FD0-4671-BB9B-D5985D5FDB5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eneral Journals" sheetId="1" r:id="rId1"/>
  </sheets>
  <calcPr calcId="191029"/>
</workbook>
</file>

<file path=xl/calcChain.xml><?xml version="1.0" encoding="utf-8"?>
<calcChain xmlns="http://schemas.openxmlformats.org/spreadsheetml/2006/main">
  <c r="AD25" i="1" l="1"/>
  <c r="Y25" i="1"/>
  <c r="N25" i="1"/>
  <c r="AD24" i="1"/>
  <c r="Y24" i="1"/>
  <c r="N24" i="1"/>
  <c r="AD23" i="1"/>
  <c r="Y23" i="1"/>
  <c r="N23" i="1"/>
  <c r="AD22" i="1"/>
  <c r="Y22" i="1"/>
  <c r="N22" i="1"/>
  <c r="AD21" i="1"/>
  <c r="Y21" i="1"/>
  <c r="N21" i="1"/>
  <c r="AD20" i="1"/>
  <c r="Y20" i="1"/>
  <c r="N20" i="1"/>
  <c r="AD19" i="1"/>
  <c r="Y19" i="1"/>
  <c r="N19" i="1"/>
  <c r="AD18" i="1"/>
  <c r="Y18" i="1"/>
  <c r="N18" i="1"/>
  <c r="AD17" i="1"/>
  <c r="Y17" i="1"/>
  <c r="N17" i="1"/>
  <c r="AD16" i="1"/>
  <c r="Y16" i="1"/>
  <c r="N16" i="1"/>
  <c r="AD15" i="1"/>
  <c r="Y15" i="1"/>
  <c r="N15" i="1"/>
  <c r="AD14" i="1"/>
  <c r="Y14" i="1"/>
  <c r="N14" i="1"/>
  <c r="AD13" i="1"/>
  <c r="Y13" i="1"/>
  <c r="N13" i="1"/>
  <c r="AD12" i="1"/>
  <c r="Y12" i="1"/>
  <c r="N12" i="1"/>
  <c r="AD11" i="1"/>
  <c r="Y11" i="1"/>
  <c r="N11" i="1"/>
  <c r="AD10" i="1"/>
  <c r="Y10" i="1"/>
  <c r="N10" i="1"/>
  <c r="AD9" i="1"/>
  <c r="Y9" i="1"/>
  <c r="N9" i="1"/>
  <c r="AD8" i="1"/>
  <c r="Y8" i="1"/>
  <c r="N8" i="1"/>
  <c r="AD7" i="1"/>
  <c r="Y7" i="1"/>
  <c r="N7" i="1"/>
  <c r="AD6" i="1"/>
  <c r="Y6" i="1"/>
  <c r="N6" i="1"/>
  <c r="AD5" i="1"/>
  <c r="Y5" i="1"/>
  <c r="N5" i="1"/>
  <c r="AD4" i="1"/>
  <c r="Y4" i="1"/>
  <c r="N4" i="1"/>
  <c r="AD3" i="1"/>
  <c r="Y3" i="1"/>
  <c r="N3" i="1"/>
  <c r="AD2" i="1"/>
  <c r="Y2" i="1"/>
  <c r="N2" i="1"/>
</calcChain>
</file>

<file path=xl/sharedStrings.xml><?xml version="1.0" encoding="utf-8"?>
<sst xmlns="http://schemas.openxmlformats.org/spreadsheetml/2006/main" count="639" uniqueCount="84">
  <si>
    <t>Batch Name</t>
  </si>
  <si>
    <t>Approval Status</t>
  </si>
  <si>
    <t>Posting Date</t>
  </si>
  <si>
    <t>VAT Date</t>
  </si>
  <si>
    <t>Document Type</t>
  </si>
  <si>
    <t>Document No.</t>
  </si>
  <si>
    <t>External Document No.</t>
  </si>
  <si>
    <t>Account Type</t>
  </si>
  <si>
    <t>Account No.</t>
  </si>
  <si>
    <t>Account Name</t>
  </si>
  <si>
    <t>Approval Status1</t>
  </si>
  <si>
    <t>Description</t>
  </si>
  <si>
    <t>Currency Code</t>
  </si>
  <si>
    <t>EU 3-Party Trade</t>
  </si>
  <si>
    <t>Gen. Posting Type</t>
  </si>
  <si>
    <t>Gen. Bus. Posting Group</t>
  </si>
  <si>
    <t>Gen. Prod. Posting Group</t>
  </si>
  <si>
    <t>Amount</t>
  </si>
  <si>
    <t>Amount (LCY)</t>
  </si>
  <si>
    <t>Bal. Account Type</t>
  </si>
  <si>
    <t>Bal. Account No.</t>
  </si>
  <si>
    <t>Bal. Gen. Posting Type</t>
  </si>
  <si>
    <t>Bal. Gen. Bus. Posting Group</t>
  </si>
  <si>
    <t>Bal. Gen. Prod. Posting Group</t>
  </si>
  <si>
    <t>Correction</t>
  </si>
  <si>
    <t>Donor Code</t>
  </si>
  <si>
    <t xml:space="preserve">Project Code </t>
  </si>
  <si>
    <t>Dimension Set ID</t>
  </si>
  <si>
    <t>Line No.</t>
  </si>
  <si>
    <t>Check Printed</t>
  </si>
  <si>
    <t>Budget_line Code</t>
  </si>
  <si>
    <t>Region</t>
  </si>
  <si>
    <t>County Code</t>
  </si>
  <si>
    <t>Fleet Code</t>
  </si>
  <si>
    <t>NumberOfJournalRecords</t>
  </si>
  <si>
    <t>Total Debit</t>
  </si>
  <si>
    <t>Total Credit</t>
  </si>
  <si>
    <t>Balance</t>
  </si>
  <si>
    <t>Total Balance</t>
  </si>
  <si>
    <t>AMY-</t>
  </si>
  <si>
    <t/>
  </si>
  <si>
    <t xml:space="preserve"> </t>
  </si>
  <si>
    <t>JV24-DRC01</t>
  </si>
  <si>
    <t>G/L Account</t>
  </si>
  <si>
    <t>7315</t>
  </si>
  <si>
    <t>Other Misc. Office expenses</t>
  </si>
  <si>
    <t>Funds transfer-DRC Accrual -</t>
  </si>
  <si>
    <t>Purchase</t>
  </si>
  <si>
    <t>GEN</t>
  </si>
  <si>
    <t>DN1040</t>
  </si>
  <si>
    <t>DPR549</t>
  </si>
  <si>
    <t>ADM101_1.1</t>
  </si>
  <si>
    <t>CTY49</t>
  </si>
  <si>
    <t>7006</t>
  </si>
  <si>
    <t>Local travel costs</t>
  </si>
  <si>
    <t>Accrual -DRC closure</t>
  </si>
  <si>
    <t>6315</t>
  </si>
  <si>
    <t>Other Training/Workshop costs</t>
  </si>
  <si>
    <t>Funds transfer- DRC project Closure-</t>
  </si>
  <si>
    <t>Funds transfer</t>
  </si>
  <si>
    <t>7101</t>
  </si>
  <si>
    <t>Printing</t>
  </si>
  <si>
    <t>Funds transfer and Project closure</t>
  </si>
  <si>
    <t>4957</t>
  </si>
  <si>
    <t>Grants &amp; Donations</t>
  </si>
  <si>
    <t>Grants &amp; Donations-DRC project</t>
  </si>
  <si>
    <t>Bank Account</t>
  </si>
  <si>
    <t>BNK289</t>
  </si>
  <si>
    <t>KRCS M-Pesa account</t>
  </si>
  <si>
    <t>Funds transfer-DRC Project</t>
  </si>
  <si>
    <t>1457</t>
  </si>
  <si>
    <t>Prepayments</t>
  </si>
  <si>
    <t>Vendor</t>
  </si>
  <si>
    <t>CR0901</t>
  </si>
  <si>
    <t>KRCS Fleet Management Account</t>
  </si>
  <si>
    <t>Customer</t>
  </si>
  <si>
    <t>INTER02</t>
  </si>
  <si>
    <t>Administration Account</t>
  </si>
  <si>
    <t>JV24-DRC02</t>
  </si>
  <si>
    <t>Accrual-DRC Closure</t>
  </si>
  <si>
    <t>Funds transfer and Closure</t>
  </si>
  <si>
    <t>Grants &amp; Donations-Rvs</t>
  </si>
  <si>
    <t>Funds transfer-DRC project</t>
  </si>
  <si>
    <t>Funds transfer and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</si>
</sst>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" fontId="0" fillId="0" borderId="0" xfId="0" applyNumberFormat="1"/>
    <xf numFmtId="43" fontId="1" fillId="2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25" totalsRowShown="0">
  <autoFilter ref="A1:AM25" xr:uid="{00000000-0009-0000-0100-000001000000}"/>
  <tableColumns count="39">
    <tableColumn id="1" xr3:uid="{00000000-0010-0000-0000-000001000000}" name="Batch Name"/>
    <tableColumn id="2" xr3:uid="{00000000-0010-0000-0000-000002000000}" name="Approval Status"/>
    <tableColumn id="3" xr3:uid="{00000000-0010-0000-0000-000003000000}" name="Posting Date"/>
    <tableColumn id="4" xr3:uid="{00000000-0010-0000-0000-000004000000}" name="VAT Date"/>
    <tableColumn id="5" xr3:uid="{00000000-0010-0000-0000-000005000000}" name="Document Type"/>
    <tableColumn id="6" xr3:uid="{00000000-0010-0000-0000-000006000000}" name="Document No."/>
    <tableColumn id="7" xr3:uid="{00000000-0010-0000-0000-000007000000}" name="External Document No."/>
    <tableColumn id="8" xr3:uid="{00000000-0010-0000-0000-000008000000}" name="Account Type"/>
    <tableColumn id="9" xr3:uid="{00000000-0010-0000-0000-000009000000}" name="Account No."/>
    <tableColumn id="10" xr3:uid="{00000000-0010-0000-0000-00000A000000}" name="Account Name"/>
    <tableColumn id="11" xr3:uid="{00000000-0010-0000-0000-00000B000000}" name="Approval Status1"/>
    <tableColumn id="12" xr3:uid="{00000000-0010-0000-0000-00000C000000}" name="Description"/>
    <tableColumn id="13" xr3:uid="{00000000-0010-0000-0000-00000D000000}" name="Currency Code"/>
    <tableColumn id="14" xr3:uid="{00000000-0010-0000-0000-00000E000000}" name="EU 3-Party Trade"/>
    <tableColumn id="15" xr3:uid="{00000000-0010-0000-0000-00000F000000}" name="Gen. Posting Type"/>
    <tableColumn id="16" xr3:uid="{00000000-0010-0000-0000-000010000000}" name="Gen. Bus. Posting Group"/>
    <tableColumn id="17" xr3:uid="{00000000-0010-0000-0000-000011000000}" name="Gen. Prod. Posting Group"/>
    <tableColumn id="18" xr3:uid="{00000000-0010-0000-0000-000012000000}" name="Amount" dataCellStyle="Comma"/>
    <tableColumn id="19" xr3:uid="{00000000-0010-0000-0000-000013000000}" name="Amount (LCY)"/>
    <tableColumn id="20" xr3:uid="{00000000-0010-0000-0000-000014000000}" name="Bal. Account Type"/>
    <tableColumn id="21" xr3:uid="{00000000-0010-0000-0000-000015000000}" name="Bal. Account No."/>
    <tableColumn id="22" xr3:uid="{00000000-0010-0000-0000-000016000000}" name="Bal. Gen. Posting Type"/>
    <tableColumn id="23" xr3:uid="{00000000-0010-0000-0000-000017000000}" name="Bal. Gen. Bus. Posting Group"/>
    <tableColumn id="24" xr3:uid="{00000000-0010-0000-0000-000018000000}" name="Bal. Gen. Prod. Posting Group"/>
    <tableColumn id="25" xr3:uid="{00000000-0010-0000-0000-000019000000}" name="Correction"/>
    <tableColumn id="26" xr3:uid="{00000000-0010-0000-0000-00001A000000}" name="Donor Code"/>
    <tableColumn id="27" xr3:uid="{00000000-0010-0000-0000-00001B000000}" name="Project Code "/>
    <tableColumn id="28" xr3:uid="{00000000-0010-0000-0000-00001C000000}" name="Dimension Set ID"/>
    <tableColumn id="29" xr3:uid="{00000000-0010-0000-0000-00001D000000}" name="Line No."/>
    <tableColumn id="30" xr3:uid="{00000000-0010-0000-0000-00001E000000}" name="Check Printed"/>
    <tableColumn id="31" xr3:uid="{00000000-0010-0000-0000-00001F000000}" name="Budget_line Code"/>
    <tableColumn id="32" xr3:uid="{00000000-0010-0000-0000-000020000000}" name="Region"/>
    <tableColumn id="33" xr3:uid="{00000000-0010-0000-0000-000021000000}" name="County Code"/>
    <tableColumn id="34" xr3:uid="{00000000-0010-0000-0000-000022000000}" name="Fleet Code"/>
    <tableColumn id="35" xr3:uid="{00000000-0010-0000-0000-000023000000}" name="NumberOfJournalRecords"/>
    <tableColumn id="36" xr3:uid="{00000000-0010-0000-0000-000024000000}" name="Total Debit"/>
    <tableColumn id="37" xr3:uid="{00000000-0010-0000-0000-000025000000}" name="Total Credit"/>
    <tableColumn id="38" xr3:uid="{00000000-0010-0000-0000-000026000000}" name="Balance"/>
    <tableColumn id="39" xr3:uid="{00000000-0010-0000-0000-000027000000}" name="Total 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"/>
  <sheetViews>
    <sheetView tabSelected="1" workbookViewId="0">
      <pane ySplit="1" topLeftCell="A2" activePane="bottomLeft" state="frozen"/>
      <selection pane="bottomLeft" activeCell="T32" sqref="T32"/>
    </sheetView>
  </sheetViews>
  <sheetFormatPr defaultRowHeight="15" x14ac:dyDescent="0.25"/>
  <cols>
    <col min="1" max="1" width="13.42578125" bestFit="1" customWidth="1"/>
    <col min="2" max="2" width="16.5703125" bestFit="1" customWidth="1"/>
    <col min="3" max="3" width="13.85546875" bestFit="1" customWidth="1"/>
    <col min="4" max="4" width="10.85546875" bestFit="1" customWidth="1"/>
    <col min="5" max="5" width="16.5703125" bestFit="1" customWidth="1"/>
    <col min="6" max="6" width="15.42578125" bestFit="1" customWidth="1"/>
    <col min="7" max="7" width="23.140625" bestFit="1" customWidth="1"/>
    <col min="8" max="8" width="14.7109375" bestFit="1" customWidth="1"/>
    <col min="9" max="9" width="13.5703125" bestFit="1" customWidth="1"/>
    <col min="10" max="10" width="15.7109375" bestFit="1" customWidth="1"/>
    <col min="11" max="11" width="17.7109375" bestFit="1" customWidth="1"/>
    <col min="12" max="12" width="12.7109375" bestFit="1" customWidth="1"/>
    <col min="13" max="13" width="15.5703125" bestFit="1" customWidth="1"/>
    <col min="14" max="14" width="17.5703125" bestFit="1" customWidth="1"/>
    <col min="15" max="15" width="18.5703125" bestFit="1" customWidth="1"/>
    <col min="16" max="16" width="24" bestFit="1" customWidth="1"/>
    <col min="17" max="17" width="25" bestFit="1" customWidth="1"/>
    <col min="18" max="18" width="14" style="7" bestFit="1" customWidth="1"/>
    <col min="19" max="19" width="14.7109375" bestFit="1" customWidth="1"/>
    <col min="20" max="20" width="18.42578125" bestFit="1" customWidth="1"/>
    <col min="21" max="21" width="17.28515625" bestFit="1" customWidth="1"/>
    <col min="22" max="22" width="22.28515625" bestFit="1" customWidth="1"/>
    <col min="23" max="23" width="27.7109375" bestFit="1" customWidth="1"/>
    <col min="24" max="24" width="28.7109375" bestFit="1" customWidth="1"/>
    <col min="25" max="25" width="12" bestFit="1" customWidth="1"/>
    <col min="26" max="26" width="13.28515625" bestFit="1" customWidth="1"/>
    <col min="27" max="27" width="14.42578125" bestFit="1" customWidth="1"/>
    <col min="28" max="28" width="17.7109375" bestFit="1" customWidth="1"/>
    <col min="29" max="29" width="9.85546875" bestFit="1" customWidth="1"/>
    <col min="30" max="30" width="14.85546875" bestFit="1" customWidth="1"/>
    <col min="31" max="31" width="18.28515625" bestFit="1" customWidth="1"/>
    <col min="32" max="32" width="8.7109375" bestFit="1" customWidth="1"/>
    <col min="33" max="33" width="14" bestFit="1" customWidth="1"/>
    <col min="34" max="34" width="12.140625" bestFit="1" customWidth="1"/>
    <col min="35" max="35" width="25.42578125" bestFit="1" customWidth="1"/>
    <col min="36" max="36" width="12.42578125" bestFit="1" customWidth="1"/>
    <col min="37" max="37" width="13" bestFit="1" customWidth="1"/>
    <col min="38" max="38" width="9.5703125" bestFit="1" customWidth="1"/>
    <col min="39" max="39" width="14.57031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40</v>
      </c>
      <c r="C2" s="3">
        <v>45627</v>
      </c>
      <c r="D2" s="3">
        <v>45627</v>
      </c>
      <c r="E2" s="2" t="s">
        <v>41</v>
      </c>
      <c r="F2" s="2" t="s">
        <v>42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40</v>
      </c>
      <c r="L2" s="2" t="s">
        <v>46</v>
      </c>
      <c r="M2" s="2" t="s">
        <v>40</v>
      </c>
      <c r="N2" s="4" t="b">
        <f>FALSE()</f>
        <v>0</v>
      </c>
      <c r="O2" s="2" t="s">
        <v>47</v>
      </c>
      <c r="P2" s="2" t="s">
        <v>48</v>
      </c>
      <c r="Q2" s="2" t="s">
        <v>48</v>
      </c>
      <c r="R2" s="7">
        <v>-382331</v>
      </c>
      <c r="S2" s="5">
        <v>-382331</v>
      </c>
      <c r="T2" s="2" t="s">
        <v>43</v>
      </c>
      <c r="U2" s="2" t="s">
        <v>40</v>
      </c>
      <c r="V2" s="2" t="s">
        <v>41</v>
      </c>
      <c r="W2" s="2" t="s">
        <v>40</v>
      </c>
      <c r="X2" s="2" t="s">
        <v>40</v>
      </c>
      <c r="Y2" s="4" t="b">
        <f>FALSE()</f>
        <v>0</v>
      </c>
      <c r="Z2" s="2" t="s">
        <v>49</v>
      </c>
      <c r="AA2" s="2" t="s">
        <v>50</v>
      </c>
      <c r="AB2" s="4">
        <v>794272</v>
      </c>
      <c r="AC2" s="4">
        <v>10000</v>
      </c>
      <c r="AD2" s="4" t="b">
        <f>FALSE()</f>
        <v>0</v>
      </c>
      <c r="AE2" s="2" t="s">
        <v>51</v>
      </c>
      <c r="AF2" s="2" t="s">
        <v>40</v>
      </c>
      <c r="AG2" s="2" t="s">
        <v>52</v>
      </c>
      <c r="AH2" s="2" t="s">
        <v>40</v>
      </c>
      <c r="AI2" s="4">
        <v>24</v>
      </c>
      <c r="AJ2" s="5">
        <v>0</v>
      </c>
      <c r="AK2" s="5">
        <v>0</v>
      </c>
      <c r="AL2" s="5">
        <v>-382331</v>
      </c>
      <c r="AM2" s="5">
        <v>0</v>
      </c>
    </row>
    <row r="3" spans="1:39" x14ac:dyDescent="0.25">
      <c r="A3" s="2" t="s">
        <v>39</v>
      </c>
      <c r="B3" s="2" t="s">
        <v>40</v>
      </c>
      <c r="C3" s="3">
        <v>45627</v>
      </c>
      <c r="D3" s="3">
        <v>45627</v>
      </c>
      <c r="E3" s="2" t="s">
        <v>41</v>
      </c>
      <c r="F3" s="2" t="s">
        <v>42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40</v>
      </c>
      <c r="L3" s="2" t="s">
        <v>46</v>
      </c>
      <c r="M3" s="2" t="s">
        <v>40</v>
      </c>
      <c r="N3" s="4" t="b">
        <f>FALSE()</f>
        <v>0</v>
      </c>
      <c r="O3" s="2" t="s">
        <v>47</v>
      </c>
      <c r="P3" s="2" t="s">
        <v>48</v>
      </c>
      <c r="Q3" s="2" t="s">
        <v>48</v>
      </c>
      <c r="R3" s="7">
        <v>-196490</v>
      </c>
      <c r="S3" s="5">
        <v>-196490</v>
      </c>
      <c r="T3" s="2" t="s">
        <v>43</v>
      </c>
      <c r="U3" s="2" t="s">
        <v>40</v>
      </c>
      <c r="V3" s="2" t="s">
        <v>41</v>
      </c>
      <c r="W3" s="2" t="s">
        <v>40</v>
      </c>
      <c r="X3" s="2" t="s">
        <v>40</v>
      </c>
      <c r="Y3" s="4" t="b">
        <f>FALSE()</f>
        <v>0</v>
      </c>
      <c r="Z3" s="2" t="s">
        <v>49</v>
      </c>
      <c r="AA3" s="2" t="s">
        <v>50</v>
      </c>
      <c r="AB3" s="4">
        <v>794272</v>
      </c>
      <c r="AC3" s="4">
        <v>20000</v>
      </c>
      <c r="AD3" s="4" t="b">
        <f>FALSE()</f>
        <v>0</v>
      </c>
      <c r="AE3" s="2" t="s">
        <v>51</v>
      </c>
      <c r="AF3" s="2" t="s">
        <v>40</v>
      </c>
      <c r="AG3" s="2" t="s">
        <v>52</v>
      </c>
      <c r="AH3" s="2" t="s">
        <v>40</v>
      </c>
      <c r="AI3" s="4">
        <v>24</v>
      </c>
      <c r="AJ3" s="5">
        <v>0</v>
      </c>
      <c r="AK3" s="5">
        <v>0</v>
      </c>
      <c r="AL3" s="5">
        <v>-578821</v>
      </c>
      <c r="AM3" s="5">
        <v>0</v>
      </c>
    </row>
    <row r="4" spans="1:39" x14ac:dyDescent="0.25">
      <c r="A4" s="2" t="s">
        <v>39</v>
      </c>
      <c r="B4" s="2" t="s">
        <v>40</v>
      </c>
      <c r="C4" s="3">
        <v>45627</v>
      </c>
      <c r="D4" s="3">
        <v>45627</v>
      </c>
      <c r="E4" s="2" t="s">
        <v>41</v>
      </c>
      <c r="F4" s="2" t="s">
        <v>42</v>
      </c>
      <c r="G4" s="2" t="s">
        <v>42</v>
      </c>
      <c r="H4" s="2" t="s">
        <v>43</v>
      </c>
      <c r="I4" s="2" t="s">
        <v>53</v>
      </c>
      <c r="J4" s="2" t="s">
        <v>54</v>
      </c>
      <c r="K4" s="2" t="s">
        <v>40</v>
      </c>
      <c r="L4" s="2" t="s">
        <v>55</v>
      </c>
      <c r="M4" s="2" t="s">
        <v>40</v>
      </c>
      <c r="N4" s="4" t="b">
        <f>FALSE()</f>
        <v>0</v>
      </c>
      <c r="O4" s="2" t="s">
        <v>47</v>
      </c>
      <c r="P4" s="2" t="s">
        <v>48</v>
      </c>
      <c r="Q4" s="2" t="s">
        <v>48</v>
      </c>
      <c r="R4" s="7">
        <v>-314693</v>
      </c>
      <c r="S4" s="5">
        <v>-314693</v>
      </c>
      <c r="T4" s="2" t="s">
        <v>43</v>
      </c>
      <c r="U4" s="2" t="s">
        <v>40</v>
      </c>
      <c r="V4" s="2" t="s">
        <v>41</v>
      </c>
      <c r="W4" s="2" t="s">
        <v>40</v>
      </c>
      <c r="X4" s="2" t="s">
        <v>40</v>
      </c>
      <c r="Y4" s="4" t="b">
        <f>FALSE()</f>
        <v>0</v>
      </c>
      <c r="Z4" s="2" t="s">
        <v>49</v>
      </c>
      <c r="AA4" s="2" t="s">
        <v>50</v>
      </c>
      <c r="AB4" s="4">
        <v>794272</v>
      </c>
      <c r="AC4" s="4">
        <v>30000</v>
      </c>
      <c r="AD4" s="4" t="b">
        <f>FALSE()</f>
        <v>0</v>
      </c>
      <c r="AE4" s="2" t="s">
        <v>51</v>
      </c>
      <c r="AF4" s="2" t="s">
        <v>40</v>
      </c>
      <c r="AG4" s="2" t="s">
        <v>52</v>
      </c>
      <c r="AH4" s="2" t="s">
        <v>40</v>
      </c>
      <c r="AI4" s="4">
        <v>24</v>
      </c>
      <c r="AJ4" s="5">
        <v>0</v>
      </c>
      <c r="AK4" s="5">
        <v>0</v>
      </c>
      <c r="AL4" s="5">
        <v>-893514</v>
      </c>
      <c r="AM4" s="5">
        <v>0</v>
      </c>
    </row>
    <row r="5" spans="1:39" x14ac:dyDescent="0.25">
      <c r="A5" s="2" t="s">
        <v>39</v>
      </c>
      <c r="B5" s="2" t="s">
        <v>40</v>
      </c>
      <c r="C5" s="3">
        <v>45627</v>
      </c>
      <c r="D5" s="3">
        <v>45627</v>
      </c>
      <c r="E5" s="2" t="s">
        <v>41</v>
      </c>
      <c r="F5" s="2" t="s">
        <v>42</v>
      </c>
      <c r="G5" s="2" t="s">
        <v>42</v>
      </c>
      <c r="H5" s="2" t="s">
        <v>43</v>
      </c>
      <c r="I5" s="2" t="s">
        <v>56</v>
      </c>
      <c r="J5" s="2" t="s">
        <v>57</v>
      </c>
      <c r="K5" s="2" t="s">
        <v>40</v>
      </c>
      <c r="L5" s="2" t="s">
        <v>57</v>
      </c>
      <c r="M5" s="2" t="s">
        <v>40</v>
      </c>
      <c r="N5" s="4" t="b">
        <f>FALSE()</f>
        <v>0</v>
      </c>
      <c r="O5" s="2" t="s">
        <v>47</v>
      </c>
      <c r="P5" s="2" t="s">
        <v>48</v>
      </c>
      <c r="Q5" s="2" t="s">
        <v>48</v>
      </c>
      <c r="R5" s="7">
        <v>-288000</v>
      </c>
      <c r="S5" s="5">
        <v>-288000</v>
      </c>
      <c r="T5" s="2" t="s">
        <v>43</v>
      </c>
      <c r="U5" s="2" t="s">
        <v>40</v>
      </c>
      <c r="V5" s="2" t="s">
        <v>41</v>
      </c>
      <c r="W5" s="2" t="s">
        <v>40</v>
      </c>
      <c r="X5" s="2" t="s">
        <v>40</v>
      </c>
      <c r="Y5" s="4" t="b">
        <f>FALSE()</f>
        <v>0</v>
      </c>
      <c r="Z5" s="2" t="s">
        <v>49</v>
      </c>
      <c r="AA5" s="2" t="s">
        <v>50</v>
      </c>
      <c r="AB5" s="4">
        <v>794272</v>
      </c>
      <c r="AC5" s="4">
        <v>40000</v>
      </c>
      <c r="AD5" s="4" t="b">
        <f>FALSE()</f>
        <v>0</v>
      </c>
      <c r="AE5" s="2" t="s">
        <v>51</v>
      </c>
      <c r="AF5" s="2" t="s">
        <v>40</v>
      </c>
      <c r="AG5" s="2" t="s">
        <v>52</v>
      </c>
      <c r="AH5" s="2" t="s">
        <v>40</v>
      </c>
      <c r="AI5" s="4">
        <v>24</v>
      </c>
      <c r="AJ5" s="5">
        <v>0</v>
      </c>
      <c r="AK5" s="5">
        <v>0</v>
      </c>
      <c r="AL5" s="5">
        <v>-1181514</v>
      </c>
      <c r="AM5" s="5">
        <v>0</v>
      </c>
    </row>
    <row r="6" spans="1:39" x14ac:dyDescent="0.25">
      <c r="A6" s="2" t="s">
        <v>39</v>
      </c>
      <c r="B6" s="2" t="s">
        <v>40</v>
      </c>
      <c r="C6" s="3">
        <v>45627</v>
      </c>
      <c r="D6" s="3">
        <v>45627</v>
      </c>
      <c r="E6" s="2" t="s">
        <v>41</v>
      </c>
      <c r="F6" s="2" t="s">
        <v>42</v>
      </c>
      <c r="G6" s="2" t="s">
        <v>42</v>
      </c>
      <c r="H6" s="2" t="s">
        <v>43</v>
      </c>
      <c r="I6" s="2" t="s">
        <v>56</v>
      </c>
      <c r="J6" s="2" t="s">
        <v>57</v>
      </c>
      <c r="K6" s="2" t="s">
        <v>40</v>
      </c>
      <c r="L6" s="2" t="s">
        <v>58</v>
      </c>
      <c r="M6" s="2" t="s">
        <v>40</v>
      </c>
      <c r="N6" s="4" t="b">
        <f>FALSE()</f>
        <v>0</v>
      </c>
      <c r="O6" s="2" t="s">
        <v>47</v>
      </c>
      <c r="P6" s="2" t="s">
        <v>48</v>
      </c>
      <c r="Q6" s="2" t="s">
        <v>48</v>
      </c>
      <c r="R6" s="7">
        <v>-710381.1</v>
      </c>
      <c r="S6" s="5">
        <v>-710381.1</v>
      </c>
      <c r="T6" s="2" t="s">
        <v>43</v>
      </c>
      <c r="U6" s="2" t="s">
        <v>40</v>
      </c>
      <c r="V6" s="2" t="s">
        <v>41</v>
      </c>
      <c r="W6" s="2" t="s">
        <v>40</v>
      </c>
      <c r="X6" s="2" t="s">
        <v>40</v>
      </c>
      <c r="Y6" s="4" t="b">
        <f>FALSE()</f>
        <v>0</v>
      </c>
      <c r="Z6" s="2" t="s">
        <v>49</v>
      </c>
      <c r="AA6" s="2" t="s">
        <v>50</v>
      </c>
      <c r="AB6" s="4">
        <v>794272</v>
      </c>
      <c r="AC6" s="4">
        <v>50000</v>
      </c>
      <c r="AD6" s="4" t="b">
        <f>FALSE()</f>
        <v>0</v>
      </c>
      <c r="AE6" s="2" t="s">
        <v>51</v>
      </c>
      <c r="AF6" s="2" t="s">
        <v>40</v>
      </c>
      <c r="AG6" s="2" t="s">
        <v>52</v>
      </c>
      <c r="AH6" s="2" t="s">
        <v>40</v>
      </c>
      <c r="AI6" s="4">
        <v>24</v>
      </c>
      <c r="AJ6" s="5">
        <v>0</v>
      </c>
      <c r="AK6" s="5">
        <v>0</v>
      </c>
      <c r="AL6" s="5">
        <v>-1891895.1</v>
      </c>
      <c r="AM6" s="5">
        <v>0</v>
      </c>
    </row>
    <row r="7" spans="1:39" x14ac:dyDescent="0.25">
      <c r="A7" s="2" t="s">
        <v>39</v>
      </c>
      <c r="B7" s="2" t="s">
        <v>40</v>
      </c>
      <c r="C7" s="3">
        <v>45627</v>
      </c>
      <c r="D7" s="3">
        <v>45627</v>
      </c>
      <c r="E7" s="2" t="s">
        <v>41</v>
      </c>
      <c r="F7" s="2" t="s">
        <v>42</v>
      </c>
      <c r="G7" s="2" t="s">
        <v>42</v>
      </c>
      <c r="H7" s="2" t="s">
        <v>43</v>
      </c>
      <c r="I7" s="2" t="s">
        <v>53</v>
      </c>
      <c r="J7" s="2" t="s">
        <v>54</v>
      </c>
      <c r="K7" s="2" t="s">
        <v>40</v>
      </c>
      <c r="L7" s="2" t="s">
        <v>59</v>
      </c>
      <c r="M7" s="2" t="s">
        <v>40</v>
      </c>
      <c r="N7" s="4" t="b">
        <f>FALSE()</f>
        <v>0</v>
      </c>
      <c r="O7" s="2" t="s">
        <v>47</v>
      </c>
      <c r="P7" s="2" t="s">
        <v>48</v>
      </c>
      <c r="Q7" s="2" t="s">
        <v>48</v>
      </c>
      <c r="R7" s="7">
        <v>-269000</v>
      </c>
      <c r="S7" s="5">
        <v>-269000</v>
      </c>
      <c r="T7" s="2" t="s">
        <v>43</v>
      </c>
      <c r="U7" s="2" t="s">
        <v>40</v>
      </c>
      <c r="V7" s="2" t="s">
        <v>41</v>
      </c>
      <c r="W7" s="2" t="s">
        <v>40</v>
      </c>
      <c r="X7" s="2" t="s">
        <v>40</v>
      </c>
      <c r="Y7" s="4" t="b">
        <f>FALSE()</f>
        <v>0</v>
      </c>
      <c r="Z7" s="2" t="s">
        <v>49</v>
      </c>
      <c r="AA7" s="2" t="s">
        <v>50</v>
      </c>
      <c r="AB7" s="4">
        <v>794272</v>
      </c>
      <c r="AC7" s="4">
        <v>60000</v>
      </c>
      <c r="AD7" s="4" t="b">
        <f>FALSE()</f>
        <v>0</v>
      </c>
      <c r="AE7" s="2" t="s">
        <v>51</v>
      </c>
      <c r="AF7" s="2" t="s">
        <v>40</v>
      </c>
      <c r="AG7" s="2" t="s">
        <v>52</v>
      </c>
      <c r="AH7" s="2" t="s">
        <v>40</v>
      </c>
      <c r="AI7" s="4">
        <v>24</v>
      </c>
      <c r="AJ7" s="5">
        <v>0</v>
      </c>
      <c r="AK7" s="5">
        <v>0</v>
      </c>
      <c r="AL7" s="5">
        <v>-2160895.1</v>
      </c>
      <c r="AM7" s="5">
        <v>0</v>
      </c>
    </row>
    <row r="8" spans="1:39" x14ac:dyDescent="0.25">
      <c r="A8" s="2" t="s">
        <v>39</v>
      </c>
      <c r="B8" s="2" t="s">
        <v>40</v>
      </c>
      <c r="C8" s="3">
        <v>45627</v>
      </c>
      <c r="D8" s="3">
        <v>45627</v>
      </c>
      <c r="E8" s="2" t="s">
        <v>41</v>
      </c>
      <c r="F8" s="2" t="s">
        <v>42</v>
      </c>
      <c r="G8" s="2" t="s">
        <v>42</v>
      </c>
      <c r="H8" s="2" t="s">
        <v>43</v>
      </c>
      <c r="I8" s="2" t="s">
        <v>60</v>
      </c>
      <c r="J8" s="2" t="s">
        <v>61</v>
      </c>
      <c r="K8" s="2" t="s">
        <v>40</v>
      </c>
      <c r="L8" s="2" t="s">
        <v>62</v>
      </c>
      <c r="M8" s="2" t="s">
        <v>40</v>
      </c>
      <c r="N8" s="4" t="b">
        <f>FALSE()</f>
        <v>0</v>
      </c>
      <c r="O8" s="2" t="s">
        <v>47</v>
      </c>
      <c r="P8" s="2" t="s">
        <v>48</v>
      </c>
      <c r="Q8" s="2" t="s">
        <v>48</v>
      </c>
      <c r="R8" s="7">
        <v>-87500</v>
      </c>
      <c r="S8" s="5">
        <v>-87500</v>
      </c>
      <c r="T8" s="2" t="s">
        <v>43</v>
      </c>
      <c r="U8" s="2" t="s">
        <v>40</v>
      </c>
      <c r="V8" s="2" t="s">
        <v>41</v>
      </c>
      <c r="W8" s="2" t="s">
        <v>40</v>
      </c>
      <c r="X8" s="2" t="s">
        <v>40</v>
      </c>
      <c r="Y8" s="4" t="b">
        <f>FALSE()</f>
        <v>0</v>
      </c>
      <c r="Z8" s="2" t="s">
        <v>49</v>
      </c>
      <c r="AA8" s="2" t="s">
        <v>50</v>
      </c>
      <c r="AB8" s="4">
        <v>794272</v>
      </c>
      <c r="AC8" s="4">
        <v>70000</v>
      </c>
      <c r="AD8" s="4" t="b">
        <f>FALSE()</f>
        <v>0</v>
      </c>
      <c r="AE8" s="2" t="s">
        <v>51</v>
      </c>
      <c r="AF8" s="2" t="s">
        <v>40</v>
      </c>
      <c r="AG8" s="2" t="s">
        <v>52</v>
      </c>
      <c r="AH8" s="2" t="s">
        <v>40</v>
      </c>
      <c r="AI8" s="4">
        <v>24</v>
      </c>
      <c r="AJ8" s="5">
        <v>0</v>
      </c>
      <c r="AK8" s="5">
        <v>0</v>
      </c>
      <c r="AL8" s="5">
        <v>-2248395.1</v>
      </c>
      <c r="AM8" s="5">
        <v>0</v>
      </c>
    </row>
    <row r="9" spans="1:39" x14ac:dyDescent="0.25">
      <c r="A9" s="2" t="s">
        <v>39</v>
      </c>
      <c r="B9" s="2" t="s">
        <v>40</v>
      </c>
      <c r="C9" s="3">
        <v>45627</v>
      </c>
      <c r="D9" s="3">
        <v>45627</v>
      </c>
      <c r="E9" s="2" t="s">
        <v>41</v>
      </c>
      <c r="F9" s="2" t="s">
        <v>42</v>
      </c>
      <c r="G9" s="2" t="s">
        <v>42</v>
      </c>
      <c r="H9" s="2" t="s">
        <v>43</v>
      </c>
      <c r="I9" s="2" t="s">
        <v>63</v>
      </c>
      <c r="J9" s="2" t="s">
        <v>64</v>
      </c>
      <c r="K9" s="2" t="s">
        <v>40</v>
      </c>
      <c r="L9" s="2" t="s">
        <v>65</v>
      </c>
      <c r="M9" s="2" t="s">
        <v>40</v>
      </c>
      <c r="N9" s="4" t="b">
        <f>FALSE()</f>
        <v>0</v>
      </c>
      <c r="O9" s="2" t="s">
        <v>47</v>
      </c>
      <c r="P9" s="2" t="s">
        <v>48</v>
      </c>
      <c r="Q9" s="2" t="s">
        <v>48</v>
      </c>
      <c r="R9" s="7">
        <v>-777500</v>
      </c>
      <c r="S9" s="5">
        <v>-777500</v>
      </c>
      <c r="T9" s="2" t="s">
        <v>43</v>
      </c>
      <c r="U9" s="2" t="s">
        <v>40</v>
      </c>
      <c r="V9" s="2" t="s">
        <v>41</v>
      </c>
      <c r="W9" s="2" t="s">
        <v>40</v>
      </c>
      <c r="X9" s="2" t="s">
        <v>40</v>
      </c>
      <c r="Y9" s="4" t="b">
        <f>FALSE()</f>
        <v>0</v>
      </c>
      <c r="Z9" s="2" t="s">
        <v>49</v>
      </c>
      <c r="AA9" s="2" t="s">
        <v>50</v>
      </c>
      <c r="AB9" s="4">
        <v>794272</v>
      </c>
      <c r="AC9" s="4">
        <v>80000</v>
      </c>
      <c r="AD9" s="4" t="b">
        <f>FALSE()</f>
        <v>0</v>
      </c>
      <c r="AE9" s="2" t="s">
        <v>51</v>
      </c>
      <c r="AF9" s="2" t="s">
        <v>40</v>
      </c>
      <c r="AG9" s="2" t="s">
        <v>52</v>
      </c>
      <c r="AH9" s="2" t="s">
        <v>40</v>
      </c>
      <c r="AI9" s="4">
        <v>24</v>
      </c>
      <c r="AJ9" s="5">
        <v>0</v>
      </c>
      <c r="AK9" s="5">
        <v>0</v>
      </c>
      <c r="AL9" s="5">
        <v>-3025895.1</v>
      </c>
      <c r="AM9" s="5">
        <v>0</v>
      </c>
    </row>
    <row r="10" spans="1:39" x14ac:dyDescent="0.25">
      <c r="A10" s="2" t="s">
        <v>39</v>
      </c>
      <c r="B10" s="2" t="s">
        <v>40</v>
      </c>
      <c r="C10" s="3">
        <v>45627</v>
      </c>
      <c r="D10" s="3">
        <v>45627</v>
      </c>
      <c r="E10" s="2" t="s">
        <v>41</v>
      </c>
      <c r="F10" s="2" t="s">
        <v>42</v>
      </c>
      <c r="G10" s="2" t="s">
        <v>42</v>
      </c>
      <c r="H10" s="2" t="s">
        <v>66</v>
      </c>
      <c r="I10" s="2" t="s">
        <v>67</v>
      </c>
      <c r="J10" s="2" t="s">
        <v>68</v>
      </c>
      <c r="K10" s="2" t="s">
        <v>40</v>
      </c>
      <c r="L10" s="2" t="s">
        <v>69</v>
      </c>
      <c r="M10" s="2" t="s">
        <v>40</v>
      </c>
      <c r="N10" s="4" t="b">
        <f>FALSE()</f>
        <v>0</v>
      </c>
      <c r="O10" s="2" t="s">
        <v>41</v>
      </c>
      <c r="P10" s="2" t="s">
        <v>40</v>
      </c>
      <c r="Q10" s="2" t="s">
        <v>40</v>
      </c>
      <c r="R10" s="7">
        <v>1600484.52</v>
      </c>
      <c r="S10" s="5">
        <v>1600484.52</v>
      </c>
      <c r="T10" s="2" t="s">
        <v>43</v>
      </c>
      <c r="U10" s="2" t="s">
        <v>40</v>
      </c>
      <c r="V10" s="2" t="s">
        <v>41</v>
      </c>
      <c r="W10" s="2" t="s">
        <v>40</v>
      </c>
      <c r="X10" s="2" t="s">
        <v>40</v>
      </c>
      <c r="Y10" s="4" t="b">
        <f>FALSE()</f>
        <v>0</v>
      </c>
      <c r="Z10" s="2" t="s">
        <v>49</v>
      </c>
      <c r="AA10" s="2" t="s">
        <v>50</v>
      </c>
      <c r="AB10" s="4">
        <v>794272</v>
      </c>
      <c r="AC10" s="4">
        <v>90000</v>
      </c>
      <c r="AD10" s="4" t="b">
        <f>FALSE()</f>
        <v>0</v>
      </c>
      <c r="AE10" s="2" t="s">
        <v>51</v>
      </c>
      <c r="AF10" s="2" t="s">
        <v>40</v>
      </c>
      <c r="AG10" s="2" t="s">
        <v>52</v>
      </c>
      <c r="AH10" s="2" t="s">
        <v>40</v>
      </c>
      <c r="AI10" s="4">
        <v>24</v>
      </c>
      <c r="AJ10" s="5">
        <v>0</v>
      </c>
      <c r="AK10" s="5">
        <v>0</v>
      </c>
      <c r="AL10" s="5">
        <v>-1425410.58</v>
      </c>
      <c r="AM10" s="5">
        <v>0</v>
      </c>
    </row>
    <row r="11" spans="1:39" x14ac:dyDescent="0.25">
      <c r="A11" s="2" t="s">
        <v>39</v>
      </c>
      <c r="B11" s="2" t="s">
        <v>40</v>
      </c>
      <c r="C11" s="3">
        <v>45627</v>
      </c>
      <c r="D11" s="3">
        <v>45627</v>
      </c>
      <c r="E11" s="2" t="s">
        <v>41</v>
      </c>
      <c r="F11" s="2" t="s">
        <v>42</v>
      </c>
      <c r="G11" s="2" t="s">
        <v>42</v>
      </c>
      <c r="H11" s="2" t="s">
        <v>43</v>
      </c>
      <c r="I11" s="2" t="s">
        <v>70</v>
      </c>
      <c r="J11" s="2" t="s">
        <v>71</v>
      </c>
      <c r="K11" s="2" t="s">
        <v>40</v>
      </c>
      <c r="L11" s="2" t="s">
        <v>69</v>
      </c>
      <c r="M11" s="2" t="s">
        <v>40</v>
      </c>
      <c r="N11" s="4" t="b">
        <f>FALSE()</f>
        <v>0</v>
      </c>
      <c r="O11" s="2" t="s">
        <v>47</v>
      </c>
      <c r="P11" s="2" t="s">
        <v>48</v>
      </c>
      <c r="Q11" s="2" t="s">
        <v>48</v>
      </c>
      <c r="R11" s="7">
        <v>1007746.58</v>
      </c>
      <c r="S11" s="5">
        <v>1007746.58</v>
      </c>
      <c r="T11" s="2" t="s">
        <v>43</v>
      </c>
      <c r="U11" s="2" t="s">
        <v>40</v>
      </c>
      <c r="V11" s="2" t="s">
        <v>41</v>
      </c>
      <c r="W11" s="2" t="s">
        <v>40</v>
      </c>
      <c r="X11" s="2" t="s">
        <v>40</v>
      </c>
      <c r="Y11" s="4" t="b">
        <f>FALSE()</f>
        <v>0</v>
      </c>
      <c r="Z11" s="2" t="s">
        <v>49</v>
      </c>
      <c r="AA11" s="2" t="s">
        <v>50</v>
      </c>
      <c r="AB11" s="4">
        <v>794272</v>
      </c>
      <c r="AC11" s="4">
        <v>100000</v>
      </c>
      <c r="AD11" s="4" t="b">
        <f>FALSE()</f>
        <v>0</v>
      </c>
      <c r="AE11" s="2" t="s">
        <v>51</v>
      </c>
      <c r="AF11" s="2" t="s">
        <v>40</v>
      </c>
      <c r="AG11" s="2" t="s">
        <v>52</v>
      </c>
      <c r="AH11" s="2" t="s">
        <v>40</v>
      </c>
      <c r="AI11" s="4">
        <v>24</v>
      </c>
      <c r="AJ11" s="5">
        <v>0</v>
      </c>
      <c r="AK11" s="5">
        <v>0</v>
      </c>
      <c r="AL11" s="5">
        <v>-417664</v>
      </c>
      <c r="AM11" s="5">
        <v>0</v>
      </c>
    </row>
    <row r="12" spans="1:39" x14ac:dyDescent="0.25">
      <c r="A12" s="2" t="s">
        <v>39</v>
      </c>
      <c r="B12" s="2" t="s">
        <v>40</v>
      </c>
      <c r="C12" s="3">
        <v>45627</v>
      </c>
      <c r="D12" s="3">
        <v>45627</v>
      </c>
      <c r="E12" s="2" t="s">
        <v>41</v>
      </c>
      <c r="F12" s="2" t="s">
        <v>42</v>
      </c>
      <c r="G12" s="2" t="s">
        <v>42</v>
      </c>
      <c r="H12" s="2" t="s">
        <v>72</v>
      </c>
      <c r="I12" s="2" t="s">
        <v>73</v>
      </c>
      <c r="J12" s="2" t="s">
        <v>74</v>
      </c>
      <c r="K12" s="2" t="s">
        <v>40</v>
      </c>
      <c r="L12" s="2" t="s">
        <v>69</v>
      </c>
      <c r="M12" s="2" t="s">
        <v>40</v>
      </c>
      <c r="N12" s="4" t="b">
        <f>FALSE()</f>
        <v>0</v>
      </c>
      <c r="O12" s="2" t="s">
        <v>41</v>
      </c>
      <c r="P12" s="2" t="s">
        <v>40</v>
      </c>
      <c r="Q12" s="2" t="s">
        <v>40</v>
      </c>
      <c r="R12" s="7">
        <v>35333</v>
      </c>
      <c r="S12" s="5">
        <v>35333</v>
      </c>
      <c r="T12" s="2" t="s">
        <v>43</v>
      </c>
      <c r="U12" s="2" t="s">
        <v>40</v>
      </c>
      <c r="V12" s="2" t="s">
        <v>41</v>
      </c>
      <c r="W12" s="2" t="s">
        <v>40</v>
      </c>
      <c r="X12" s="2" t="s">
        <v>40</v>
      </c>
      <c r="Y12" s="4" t="b">
        <f>FALSE()</f>
        <v>0</v>
      </c>
      <c r="Z12" s="2" t="s">
        <v>49</v>
      </c>
      <c r="AA12" s="2" t="s">
        <v>50</v>
      </c>
      <c r="AB12" s="4">
        <v>794272</v>
      </c>
      <c r="AC12" s="4">
        <v>110000</v>
      </c>
      <c r="AD12" s="4" t="b">
        <f>FALSE()</f>
        <v>0</v>
      </c>
      <c r="AE12" s="2" t="s">
        <v>51</v>
      </c>
      <c r="AF12" s="2" t="s">
        <v>40</v>
      </c>
      <c r="AG12" s="2" t="s">
        <v>52</v>
      </c>
      <c r="AH12" s="2" t="s">
        <v>40</v>
      </c>
      <c r="AI12" s="4">
        <v>24</v>
      </c>
      <c r="AJ12" s="5">
        <v>0</v>
      </c>
      <c r="AK12" s="5">
        <v>0</v>
      </c>
      <c r="AL12" s="5">
        <v>-382331</v>
      </c>
      <c r="AM12" s="5">
        <v>0</v>
      </c>
    </row>
    <row r="13" spans="1:39" x14ac:dyDescent="0.25">
      <c r="A13" s="2" t="s">
        <v>39</v>
      </c>
      <c r="B13" s="2" t="s">
        <v>40</v>
      </c>
      <c r="C13" s="3">
        <v>45627</v>
      </c>
      <c r="D13" s="3">
        <v>45627</v>
      </c>
      <c r="E13" s="2" t="s">
        <v>41</v>
      </c>
      <c r="F13" s="2" t="s">
        <v>42</v>
      </c>
      <c r="G13" s="2" t="s">
        <v>42</v>
      </c>
      <c r="H13" s="2" t="s">
        <v>75</v>
      </c>
      <c r="I13" s="2" t="s">
        <v>76</v>
      </c>
      <c r="J13" s="2" t="s">
        <v>77</v>
      </c>
      <c r="K13" s="2" t="s">
        <v>40</v>
      </c>
      <c r="L13" s="2" t="s">
        <v>77</v>
      </c>
      <c r="M13" s="2" t="s">
        <v>40</v>
      </c>
      <c r="N13" s="4" t="b">
        <f>FALSE()</f>
        <v>0</v>
      </c>
      <c r="O13" s="2" t="s">
        <v>41</v>
      </c>
      <c r="P13" s="2" t="s">
        <v>40</v>
      </c>
      <c r="Q13" s="2" t="s">
        <v>40</v>
      </c>
      <c r="R13" s="7">
        <v>382331</v>
      </c>
      <c r="S13" s="5">
        <v>382331</v>
      </c>
      <c r="T13" s="2" t="s">
        <v>43</v>
      </c>
      <c r="U13" s="2" t="s">
        <v>40</v>
      </c>
      <c r="V13" s="2" t="s">
        <v>41</v>
      </c>
      <c r="W13" s="2" t="s">
        <v>40</v>
      </c>
      <c r="X13" s="2" t="s">
        <v>40</v>
      </c>
      <c r="Y13" s="4" t="b">
        <f>FALSE()</f>
        <v>0</v>
      </c>
      <c r="Z13" s="2" t="s">
        <v>49</v>
      </c>
      <c r="AA13" s="2" t="s">
        <v>50</v>
      </c>
      <c r="AB13" s="4">
        <v>794272</v>
      </c>
      <c r="AC13" s="4">
        <v>120000</v>
      </c>
      <c r="AD13" s="4" t="b">
        <f>FALSE()</f>
        <v>0</v>
      </c>
      <c r="AE13" s="2" t="s">
        <v>51</v>
      </c>
      <c r="AF13" s="2" t="s">
        <v>40</v>
      </c>
      <c r="AG13" s="2" t="s">
        <v>52</v>
      </c>
      <c r="AH13" s="2" t="s">
        <v>40</v>
      </c>
      <c r="AI13" s="4">
        <v>24</v>
      </c>
      <c r="AJ13" s="5">
        <v>0</v>
      </c>
      <c r="AK13" s="5">
        <v>0</v>
      </c>
      <c r="AL13" s="5">
        <v>0</v>
      </c>
      <c r="AM13" s="5">
        <v>0</v>
      </c>
    </row>
    <row r="14" spans="1:39" x14ac:dyDescent="0.25">
      <c r="A14" s="2" t="s">
        <v>39</v>
      </c>
      <c r="B14" s="2" t="s">
        <v>40</v>
      </c>
      <c r="C14" s="3">
        <v>45658</v>
      </c>
      <c r="D14" s="3">
        <v>45658</v>
      </c>
      <c r="E14" s="2" t="s">
        <v>41</v>
      </c>
      <c r="F14" s="2" t="s">
        <v>78</v>
      </c>
      <c r="G14" s="2" t="s">
        <v>78</v>
      </c>
      <c r="H14" s="2" t="s">
        <v>43</v>
      </c>
      <c r="I14" s="2" t="s">
        <v>44</v>
      </c>
      <c r="J14" s="2" t="s">
        <v>45</v>
      </c>
      <c r="K14" s="2" t="s">
        <v>40</v>
      </c>
      <c r="L14" s="2" t="s">
        <v>46</v>
      </c>
      <c r="M14" s="2" t="s">
        <v>40</v>
      </c>
      <c r="N14" s="4" t="b">
        <f>FALSE()</f>
        <v>0</v>
      </c>
      <c r="O14" s="2" t="s">
        <v>47</v>
      </c>
      <c r="P14" s="2" t="s">
        <v>48</v>
      </c>
      <c r="Q14" s="2" t="s">
        <v>48</v>
      </c>
      <c r="R14" s="7">
        <v>382331</v>
      </c>
      <c r="S14" s="5">
        <v>382331</v>
      </c>
      <c r="T14" s="2" t="s">
        <v>43</v>
      </c>
      <c r="U14" s="2" t="s">
        <v>40</v>
      </c>
      <c r="V14" s="2" t="s">
        <v>41</v>
      </c>
      <c r="W14" s="2" t="s">
        <v>40</v>
      </c>
      <c r="X14" s="2" t="s">
        <v>40</v>
      </c>
      <c r="Y14" s="4" t="b">
        <f>FALSE()</f>
        <v>0</v>
      </c>
      <c r="Z14" s="2" t="s">
        <v>49</v>
      </c>
      <c r="AA14" s="2" t="s">
        <v>50</v>
      </c>
      <c r="AB14" s="4">
        <v>794272</v>
      </c>
      <c r="AC14" s="4">
        <v>130000</v>
      </c>
      <c r="AD14" s="4" t="b">
        <f>FALSE()</f>
        <v>0</v>
      </c>
      <c r="AE14" s="2" t="s">
        <v>51</v>
      </c>
      <c r="AF14" s="2" t="s">
        <v>40</v>
      </c>
      <c r="AG14" s="2" t="s">
        <v>52</v>
      </c>
      <c r="AH14" s="2" t="s">
        <v>40</v>
      </c>
      <c r="AI14" s="4">
        <v>24</v>
      </c>
      <c r="AJ14" s="5">
        <v>0</v>
      </c>
      <c r="AK14" s="5">
        <v>0</v>
      </c>
      <c r="AL14" s="5">
        <v>382331</v>
      </c>
      <c r="AM14" s="5">
        <v>0</v>
      </c>
    </row>
    <row r="15" spans="1:39" x14ac:dyDescent="0.25">
      <c r="A15" s="2" t="s">
        <v>39</v>
      </c>
      <c r="B15" s="2" t="s">
        <v>40</v>
      </c>
      <c r="C15" s="3">
        <v>45658</v>
      </c>
      <c r="D15" s="3">
        <v>45658</v>
      </c>
      <c r="E15" s="2" t="s">
        <v>41</v>
      </c>
      <c r="F15" s="2" t="s">
        <v>78</v>
      </c>
      <c r="G15" s="2" t="s">
        <v>78</v>
      </c>
      <c r="H15" s="2" t="s">
        <v>43</v>
      </c>
      <c r="I15" s="2" t="s">
        <v>44</v>
      </c>
      <c r="J15" s="2" t="s">
        <v>45</v>
      </c>
      <c r="K15" s="2" t="s">
        <v>40</v>
      </c>
      <c r="L15" s="2" t="s">
        <v>46</v>
      </c>
      <c r="M15" s="2" t="s">
        <v>40</v>
      </c>
      <c r="N15" s="4" t="b">
        <f>FALSE()</f>
        <v>0</v>
      </c>
      <c r="O15" s="2" t="s">
        <v>47</v>
      </c>
      <c r="P15" s="2" t="s">
        <v>48</v>
      </c>
      <c r="Q15" s="2" t="s">
        <v>48</v>
      </c>
      <c r="R15" s="7">
        <v>196490</v>
      </c>
      <c r="S15" s="5">
        <v>196490</v>
      </c>
      <c r="T15" s="2" t="s">
        <v>43</v>
      </c>
      <c r="U15" s="2" t="s">
        <v>40</v>
      </c>
      <c r="V15" s="2" t="s">
        <v>41</v>
      </c>
      <c r="W15" s="2" t="s">
        <v>40</v>
      </c>
      <c r="X15" s="2" t="s">
        <v>40</v>
      </c>
      <c r="Y15" s="4" t="b">
        <f>FALSE()</f>
        <v>0</v>
      </c>
      <c r="Z15" s="2" t="s">
        <v>49</v>
      </c>
      <c r="AA15" s="2" t="s">
        <v>50</v>
      </c>
      <c r="AB15" s="4">
        <v>794272</v>
      </c>
      <c r="AC15" s="4">
        <v>140000</v>
      </c>
      <c r="AD15" s="4" t="b">
        <f>FALSE()</f>
        <v>0</v>
      </c>
      <c r="AE15" s="2" t="s">
        <v>51</v>
      </c>
      <c r="AF15" s="2" t="s">
        <v>40</v>
      </c>
      <c r="AG15" s="2" t="s">
        <v>52</v>
      </c>
      <c r="AH15" s="2" t="s">
        <v>40</v>
      </c>
      <c r="AI15" s="4">
        <v>24</v>
      </c>
      <c r="AJ15" s="5">
        <v>0</v>
      </c>
      <c r="AK15" s="5">
        <v>0</v>
      </c>
      <c r="AL15" s="5">
        <v>578821</v>
      </c>
      <c r="AM15" s="5">
        <v>0</v>
      </c>
    </row>
    <row r="16" spans="1:39" x14ac:dyDescent="0.25">
      <c r="A16" s="2" t="s">
        <v>39</v>
      </c>
      <c r="B16" s="2" t="s">
        <v>40</v>
      </c>
      <c r="C16" s="3">
        <v>45658</v>
      </c>
      <c r="D16" s="3">
        <v>45658</v>
      </c>
      <c r="E16" s="2" t="s">
        <v>41</v>
      </c>
      <c r="F16" s="2" t="s">
        <v>78</v>
      </c>
      <c r="G16" s="2" t="s">
        <v>78</v>
      </c>
      <c r="H16" s="2" t="s">
        <v>43</v>
      </c>
      <c r="I16" s="2" t="s">
        <v>53</v>
      </c>
      <c r="J16" s="2" t="s">
        <v>54</v>
      </c>
      <c r="K16" s="2" t="s">
        <v>40</v>
      </c>
      <c r="L16" s="2" t="s">
        <v>79</v>
      </c>
      <c r="M16" s="2" t="s">
        <v>40</v>
      </c>
      <c r="N16" s="4" t="b">
        <f>FALSE()</f>
        <v>0</v>
      </c>
      <c r="O16" s="2" t="s">
        <v>47</v>
      </c>
      <c r="P16" s="2" t="s">
        <v>48</v>
      </c>
      <c r="Q16" s="2" t="s">
        <v>48</v>
      </c>
      <c r="R16" s="7">
        <v>314693</v>
      </c>
      <c r="S16" s="5">
        <v>314693</v>
      </c>
      <c r="T16" s="2" t="s">
        <v>43</v>
      </c>
      <c r="U16" s="2" t="s">
        <v>40</v>
      </c>
      <c r="V16" s="2" t="s">
        <v>41</v>
      </c>
      <c r="W16" s="2" t="s">
        <v>40</v>
      </c>
      <c r="X16" s="2" t="s">
        <v>40</v>
      </c>
      <c r="Y16" s="4" t="b">
        <f>FALSE()</f>
        <v>0</v>
      </c>
      <c r="Z16" s="2" t="s">
        <v>49</v>
      </c>
      <c r="AA16" s="2" t="s">
        <v>50</v>
      </c>
      <c r="AB16" s="4">
        <v>794272</v>
      </c>
      <c r="AC16" s="4">
        <v>150000</v>
      </c>
      <c r="AD16" s="4" t="b">
        <f>FALSE()</f>
        <v>0</v>
      </c>
      <c r="AE16" s="2" t="s">
        <v>51</v>
      </c>
      <c r="AF16" s="2" t="s">
        <v>40</v>
      </c>
      <c r="AG16" s="2" t="s">
        <v>52</v>
      </c>
      <c r="AH16" s="2" t="s">
        <v>40</v>
      </c>
      <c r="AI16" s="4">
        <v>24</v>
      </c>
      <c r="AJ16" s="5">
        <v>0</v>
      </c>
      <c r="AK16" s="5">
        <v>0</v>
      </c>
      <c r="AL16" s="5">
        <v>893514</v>
      </c>
      <c r="AM16" s="5">
        <v>0</v>
      </c>
    </row>
    <row r="17" spans="1:39" x14ac:dyDescent="0.25">
      <c r="A17" s="2" t="s">
        <v>39</v>
      </c>
      <c r="B17" s="2" t="s">
        <v>40</v>
      </c>
      <c r="C17" s="3">
        <v>45658</v>
      </c>
      <c r="D17" s="3">
        <v>45658</v>
      </c>
      <c r="E17" s="2" t="s">
        <v>41</v>
      </c>
      <c r="F17" s="2" t="s">
        <v>78</v>
      </c>
      <c r="G17" s="2" t="s">
        <v>78</v>
      </c>
      <c r="H17" s="2" t="s">
        <v>43</v>
      </c>
      <c r="I17" s="2" t="s">
        <v>56</v>
      </c>
      <c r="J17" s="2" t="s">
        <v>57</v>
      </c>
      <c r="K17" s="2" t="s">
        <v>40</v>
      </c>
      <c r="L17" s="2" t="s">
        <v>57</v>
      </c>
      <c r="M17" s="2" t="s">
        <v>40</v>
      </c>
      <c r="N17" s="4" t="b">
        <f>FALSE()</f>
        <v>0</v>
      </c>
      <c r="O17" s="2" t="s">
        <v>47</v>
      </c>
      <c r="P17" s="2" t="s">
        <v>48</v>
      </c>
      <c r="Q17" s="2" t="s">
        <v>48</v>
      </c>
      <c r="R17" s="7">
        <v>288000</v>
      </c>
      <c r="S17" s="5">
        <v>288000</v>
      </c>
      <c r="T17" s="2" t="s">
        <v>43</v>
      </c>
      <c r="U17" s="2" t="s">
        <v>40</v>
      </c>
      <c r="V17" s="2" t="s">
        <v>41</v>
      </c>
      <c r="W17" s="2" t="s">
        <v>40</v>
      </c>
      <c r="X17" s="2" t="s">
        <v>40</v>
      </c>
      <c r="Y17" s="4" t="b">
        <f>FALSE()</f>
        <v>0</v>
      </c>
      <c r="Z17" s="2" t="s">
        <v>49</v>
      </c>
      <c r="AA17" s="2" t="s">
        <v>50</v>
      </c>
      <c r="AB17" s="4">
        <v>794272</v>
      </c>
      <c r="AC17" s="4">
        <v>160000</v>
      </c>
      <c r="AD17" s="4" t="b">
        <f>FALSE()</f>
        <v>0</v>
      </c>
      <c r="AE17" s="2" t="s">
        <v>51</v>
      </c>
      <c r="AF17" s="2" t="s">
        <v>40</v>
      </c>
      <c r="AG17" s="2" t="s">
        <v>52</v>
      </c>
      <c r="AH17" s="2" t="s">
        <v>40</v>
      </c>
      <c r="AI17" s="4">
        <v>24</v>
      </c>
      <c r="AJ17" s="5">
        <v>0</v>
      </c>
      <c r="AK17" s="5">
        <v>0</v>
      </c>
      <c r="AL17" s="5">
        <v>1181514</v>
      </c>
      <c r="AM17" s="5">
        <v>0</v>
      </c>
    </row>
    <row r="18" spans="1:39" x14ac:dyDescent="0.25">
      <c r="A18" s="2" t="s">
        <v>39</v>
      </c>
      <c r="B18" s="2" t="s">
        <v>40</v>
      </c>
      <c r="C18" s="3">
        <v>45658</v>
      </c>
      <c r="D18" s="3">
        <v>45658</v>
      </c>
      <c r="E18" s="2" t="s">
        <v>41</v>
      </c>
      <c r="F18" s="2" t="s">
        <v>78</v>
      </c>
      <c r="G18" s="2" t="s">
        <v>78</v>
      </c>
      <c r="H18" s="2" t="s">
        <v>43</v>
      </c>
      <c r="I18" s="2" t="s">
        <v>53</v>
      </c>
      <c r="J18" s="2" t="s">
        <v>54</v>
      </c>
      <c r="K18" s="2" t="s">
        <v>40</v>
      </c>
      <c r="L18" s="2" t="s">
        <v>59</v>
      </c>
      <c r="M18" s="2" t="s">
        <v>40</v>
      </c>
      <c r="N18" s="4" t="b">
        <f>FALSE()</f>
        <v>0</v>
      </c>
      <c r="O18" s="2" t="s">
        <v>47</v>
      </c>
      <c r="P18" s="2" t="s">
        <v>48</v>
      </c>
      <c r="Q18" s="2" t="s">
        <v>48</v>
      </c>
      <c r="R18" s="7">
        <v>710381.1</v>
      </c>
      <c r="S18" s="5">
        <v>710381.1</v>
      </c>
      <c r="T18" s="2" t="s">
        <v>43</v>
      </c>
      <c r="U18" s="2" t="s">
        <v>40</v>
      </c>
      <c r="V18" s="2" t="s">
        <v>41</v>
      </c>
      <c r="W18" s="2" t="s">
        <v>40</v>
      </c>
      <c r="X18" s="2" t="s">
        <v>40</v>
      </c>
      <c r="Y18" s="4" t="b">
        <f>FALSE()</f>
        <v>0</v>
      </c>
      <c r="Z18" s="2" t="s">
        <v>49</v>
      </c>
      <c r="AA18" s="2" t="s">
        <v>50</v>
      </c>
      <c r="AB18" s="4">
        <v>794272</v>
      </c>
      <c r="AC18" s="4">
        <v>170000</v>
      </c>
      <c r="AD18" s="4" t="b">
        <f>FALSE()</f>
        <v>0</v>
      </c>
      <c r="AE18" s="2" t="s">
        <v>51</v>
      </c>
      <c r="AF18" s="2" t="s">
        <v>40</v>
      </c>
      <c r="AG18" s="2" t="s">
        <v>52</v>
      </c>
      <c r="AH18" s="2" t="s">
        <v>40</v>
      </c>
      <c r="AI18" s="4">
        <v>24</v>
      </c>
      <c r="AJ18" s="5">
        <v>0</v>
      </c>
      <c r="AK18" s="5">
        <v>0</v>
      </c>
      <c r="AL18" s="5">
        <v>1891895.1</v>
      </c>
      <c r="AM18" s="5">
        <v>0</v>
      </c>
    </row>
    <row r="19" spans="1:39" x14ac:dyDescent="0.25">
      <c r="A19" s="2" t="s">
        <v>39</v>
      </c>
      <c r="B19" s="2" t="s">
        <v>40</v>
      </c>
      <c r="C19" s="3">
        <v>45658</v>
      </c>
      <c r="D19" s="3">
        <v>45658</v>
      </c>
      <c r="E19" s="2" t="s">
        <v>41</v>
      </c>
      <c r="F19" s="2" t="s">
        <v>78</v>
      </c>
      <c r="G19" s="2" t="s">
        <v>78</v>
      </c>
      <c r="H19" s="2" t="s">
        <v>43</v>
      </c>
      <c r="I19" s="2" t="s">
        <v>53</v>
      </c>
      <c r="J19" s="2" t="s">
        <v>54</v>
      </c>
      <c r="K19" s="2" t="s">
        <v>40</v>
      </c>
      <c r="L19" s="2" t="s">
        <v>80</v>
      </c>
      <c r="M19" s="2" t="s">
        <v>40</v>
      </c>
      <c r="N19" s="4" t="b">
        <f>FALSE()</f>
        <v>0</v>
      </c>
      <c r="O19" s="2" t="s">
        <v>47</v>
      </c>
      <c r="P19" s="2" t="s">
        <v>48</v>
      </c>
      <c r="Q19" s="2" t="s">
        <v>48</v>
      </c>
      <c r="R19" s="7">
        <v>269000</v>
      </c>
      <c r="S19" s="5">
        <v>269000</v>
      </c>
      <c r="T19" s="2" t="s">
        <v>43</v>
      </c>
      <c r="U19" s="2" t="s">
        <v>40</v>
      </c>
      <c r="V19" s="2" t="s">
        <v>41</v>
      </c>
      <c r="W19" s="2" t="s">
        <v>40</v>
      </c>
      <c r="X19" s="2" t="s">
        <v>40</v>
      </c>
      <c r="Y19" s="4" t="b">
        <f>FALSE()</f>
        <v>0</v>
      </c>
      <c r="Z19" s="2" t="s">
        <v>49</v>
      </c>
      <c r="AA19" s="2" t="s">
        <v>50</v>
      </c>
      <c r="AB19" s="4">
        <v>794272</v>
      </c>
      <c r="AC19" s="4">
        <v>180000</v>
      </c>
      <c r="AD19" s="4" t="b">
        <f>FALSE()</f>
        <v>0</v>
      </c>
      <c r="AE19" s="2" t="s">
        <v>51</v>
      </c>
      <c r="AF19" s="2" t="s">
        <v>40</v>
      </c>
      <c r="AG19" s="2" t="s">
        <v>52</v>
      </c>
      <c r="AH19" s="2" t="s">
        <v>40</v>
      </c>
      <c r="AI19" s="4">
        <v>24</v>
      </c>
      <c r="AJ19" s="5">
        <v>0</v>
      </c>
      <c r="AK19" s="5">
        <v>0</v>
      </c>
      <c r="AL19" s="5">
        <v>2160895.1</v>
      </c>
      <c r="AM19" s="5">
        <v>0</v>
      </c>
    </row>
    <row r="20" spans="1:39" x14ac:dyDescent="0.25">
      <c r="A20" s="2" t="s">
        <v>39</v>
      </c>
      <c r="B20" s="2" t="s">
        <v>40</v>
      </c>
      <c r="C20" s="3">
        <v>45658</v>
      </c>
      <c r="D20" s="3">
        <v>45658</v>
      </c>
      <c r="E20" s="2" t="s">
        <v>41</v>
      </c>
      <c r="F20" s="2" t="s">
        <v>78</v>
      </c>
      <c r="G20" s="2" t="s">
        <v>78</v>
      </c>
      <c r="H20" s="2" t="s">
        <v>43</v>
      </c>
      <c r="I20" s="2" t="s">
        <v>63</v>
      </c>
      <c r="J20" s="2" t="s">
        <v>64</v>
      </c>
      <c r="K20" s="2" t="s">
        <v>40</v>
      </c>
      <c r="L20" s="2" t="s">
        <v>81</v>
      </c>
      <c r="M20" s="2" t="s">
        <v>40</v>
      </c>
      <c r="N20" s="4" t="b">
        <f>FALSE()</f>
        <v>0</v>
      </c>
      <c r="O20" s="2" t="s">
        <v>47</v>
      </c>
      <c r="P20" s="2" t="s">
        <v>48</v>
      </c>
      <c r="Q20" s="2" t="s">
        <v>48</v>
      </c>
      <c r="R20" s="7">
        <v>777500</v>
      </c>
      <c r="S20" s="5">
        <v>777500</v>
      </c>
      <c r="T20" s="2" t="s">
        <v>43</v>
      </c>
      <c r="U20" s="2" t="s">
        <v>40</v>
      </c>
      <c r="V20" s="2" t="s">
        <v>41</v>
      </c>
      <c r="W20" s="2" t="s">
        <v>40</v>
      </c>
      <c r="X20" s="2" t="s">
        <v>40</v>
      </c>
      <c r="Y20" s="4" t="b">
        <f>FALSE()</f>
        <v>0</v>
      </c>
      <c r="Z20" s="2" t="s">
        <v>49</v>
      </c>
      <c r="AA20" s="2" t="s">
        <v>50</v>
      </c>
      <c r="AB20" s="4">
        <v>794272</v>
      </c>
      <c r="AC20" s="4">
        <v>190000</v>
      </c>
      <c r="AD20" s="4" t="b">
        <f>FALSE()</f>
        <v>0</v>
      </c>
      <c r="AE20" s="2" t="s">
        <v>51</v>
      </c>
      <c r="AF20" s="2" t="s">
        <v>40</v>
      </c>
      <c r="AG20" s="2" t="s">
        <v>52</v>
      </c>
      <c r="AH20" s="2" t="s">
        <v>40</v>
      </c>
      <c r="AI20" s="4">
        <v>24</v>
      </c>
      <c r="AJ20" s="5">
        <v>0</v>
      </c>
      <c r="AK20" s="5">
        <v>0</v>
      </c>
      <c r="AL20" s="5">
        <v>2938395.1</v>
      </c>
      <c r="AM20" s="5">
        <v>0</v>
      </c>
    </row>
    <row r="21" spans="1:39" x14ac:dyDescent="0.25">
      <c r="A21" s="2" t="s">
        <v>39</v>
      </c>
      <c r="B21" s="2" t="s">
        <v>40</v>
      </c>
      <c r="C21" s="3">
        <v>45658</v>
      </c>
      <c r="D21" s="3">
        <v>45658</v>
      </c>
      <c r="E21" s="2" t="s">
        <v>41</v>
      </c>
      <c r="F21" s="2" t="s">
        <v>78</v>
      </c>
      <c r="G21" s="2" t="s">
        <v>78</v>
      </c>
      <c r="H21" s="2" t="s">
        <v>66</v>
      </c>
      <c r="I21" s="2" t="s">
        <v>67</v>
      </c>
      <c r="J21" s="2" t="s">
        <v>68</v>
      </c>
      <c r="K21" s="2" t="s">
        <v>40</v>
      </c>
      <c r="L21" s="2" t="s">
        <v>59</v>
      </c>
      <c r="M21" s="2" t="s">
        <v>40</v>
      </c>
      <c r="N21" s="4" t="b">
        <f>FALSE()</f>
        <v>0</v>
      </c>
      <c r="O21" s="2" t="s">
        <v>41</v>
      </c>
      <c r="P21" s="2" t="s">
        <v>40</v>
      </c>
      <c r="Q21" s="2" t="s">
        <v>40</v>
      </c>
      <c r="R21" s="7">
        <v>-1600484.52</v>
      </c>
      <c r="S21" s="5">
        <v>-1600484.52</v>
      </c>
      <c r="T21" s="2" t="s">
        <v>43</v>
      </c>
      <c r="U21" s="2" t="s">
        <v>40</v>
      </c>
      <c r="V21" s="2" t="s">
        <v>41</v>
      </c>
      <c r="W21" s="2" t="s">
        <v>40</v>
      </c>
      <c r="X21" s="2" t="s">
        <v>40</v>
      </c>
      <c r="Y21" s="4" t="b">
        <f>FALSE()</f>
        <v>0</v>
      </c>
      <c r="Z21" s="2" t="s">
        <v>49</v>
      </c>
      <c r="AA21" s="2" t="s">
        <v>50</v>
      </c>
      <c r="AB21" s="4">
        <v>794272</v>
      </c>
      <c r="AC21" s="4">
        <v>200000</v>
      </c>
      <c r="AD21" s="4" t="b">
        <f>FALSE()</f>
        <v>0</v>
      </c>
      <c r="AE21" s="2" t="s">
        <v>51</v>
      </c>
      <c r="AF21" s="2" t="s">
        <v>40</v>
      </c>
      <c r="AG21" s="2" t="s">
        <v>52</v>
      </c>
      <c r="AH21" s="2" t="s">
        <v>40</v>
      </c>
      <c r="AI21" s="4">
        <v>24</v>
      </c>
      <c r="AJ21" s="5">
        <v>0</v>
      </c>
      <c r="AK21" s="5">
        <v>0</v>
      </c>
      <c r="AL21" s="5">
        <v>1337910.58</v>
      </c>
      <c r="AM21" s="5">
        <v>0</v>
      </c>
    </row>
    <row r="22" spans="1:39" x14ac:dyDescent="0.25">
      <c r="A22" s="2" t="s">
        <v>39</v>
      </c>
      <c r="B22" s="2" t="s">
        <v>40</v>
      </c>
      <c r="C22" s="3">
        <v>45658</v>
      </c>
      <c r="D22" s="3">
        <v>45658</v>
      </c>
      <c r="E22" s="2" t="s">
        <v>41</v>
      </c>
      <c r="F22" s="2" t="s">
        <v>78</v>
      </c>
      <c r="G22" s="2" t="s">
        <v>78</v>
      </c>
      <c r="H22" s="2" t="s">
        <v>43</v>
      </c>
      <c r="I22" s="2" t="s">
        <v>70</v>
      </c>
      <c r="J22" s="2" t="s">
        <v>71</v>
      </c>
      <c r="K22" s="2" t="s">
        <v>40</v>
      </c>
      <c r="L22" s="2" t="s">
        <v>82</v>
      </c>
      <c r="M22" s="2" t="s">
        <v>40</v>
      </c>
      <c r="N22" s="4" t="b">
        <f>FALSE()</f>
        <v>0</v>
      </c>
      <c r="O22" s="2" t="s">
        <v>47</v>
      </c>
      <c r="P22" s="2" t="s">
        <v>48</v>
      </c>
      <c r="Q22" s="2" t="s">
        <v>48</v>
      </c>
      <c r="R22" s="7">
        <v>-1007746.58</v>
      </c>
      <c r="S22" s="5">
        <v>-1007746.58</v>
      </c>
      <c r="T22" s="2" t="s">
        <v>43</v>
      </c>
      <c r="U22" s="2" t="s">
        <v>40</v>
      </c>
      <c r="V22" s="2" t="s">
        <v>41</v>
      </c>
      <c r="W22" s="2" t="s">
        <v>40</v>
      </c>
      <c r="X22" s="2" t="s">
        <v>40</v>
      </c>
      <c r="Y22" s="4" t="b">
        <f>FALSE()</f>
        <v>0</v>
      </c>
      <c r="Z22" s="2" t="s">
        <v>49</v>
      </c>
      <c r="AA22" s="2" t="s">
        <v>50</v>
      </c>
      <c r="AB22" s="4">
        <v>794272</v>
      </c>
      <c r="AC22" s="4">
        <v>210000</v>
      </c>
      <c r="AD22" s="4" t="b">
        <f>FALSE()</f>
        <v>0</v>
      </c>
      <c r="AE22" s="2" t="s">
        <v>51</v>
      </c>
      <c r="AF22" s="2" t="s">
        <v>40</v>
      </c>
      <c r="AG22" s="2" t="s">
        <v>52</v>
      </c>
      <c r="AH22" s="2" t="s">
        <v>40</v>
      </c>
      <c r="AI22" s="4">
        <v>24</v>
      </c>
      <c r="AJ22" s="5">
        <v>0</v>
      </c>
      <c r="AK22" s="5">
        <v>0</v>
      </c>
      <c r="AL22" s="5">
        <v>330164</v>
      </c>
      <c r="AM22" s="5">
        <v>0</v>
      </c>
    </row>
    <row r="23" spans="1:39" x14ac:dyDescent="0.25">
      <c r="A23" s="2" t="s">
        <v>39</v>
      </c>
      <c r="B23" s="2" t="s">
        <v>40</v>
      </c>
      <c r="C23" s="3">
        <v>45658</v>
      </c>
      <c r="D23" s="3">
        <v>45658</v>
      </c>
      <c r="E23" s="2" t="s">
        <v>41</v>
      </c>
      <c r="F23" s="2" t="s">
        <v>78</v>
      </c>
      <c r="G23" s="2" t="s">
        <v>78</v>
      </c>
      <c r="H23" s="2" t="s">
        <v>72</v>
      </c>
      <c r="I23" s="2" t="s">
        <v>73</v>
      </c>
      <c r="J23" s="2" t="s">
        <v>74</v>
      </c>
      <c r="K23" s="2" t="s">
        <v>40</v>
      </c>
      <c r="L23" s="2" t="s">
        <v>82</v>
      </c>
      <c r="M23" s="2" t="s">
        <v>40</v>
      </c>
      <c r="N23" s="4" t="b">
        <f>FALSE()</f>
        <v>0</v>
      </c>
      <c r="O23" s="2" t="s">
        <v>41</v>
      </c>
      <c r="P23" s="2" t="s">
        <v>40</v>
      </c>
      <c r="Q23" s="2" t="s">
        <v>40</v>
      </c>
      <c r="R23" s="7">
        <v>-35333</v>
      </c>
      <c r="S23" s="5">
        <v>-35333</v>
      </c>
      <c r="T23" s="2" t="s">
        <v>43</v>
      </c>
      <c r="U23" s="2" t="s">
        <v>40</v>
      </c>
      <c r="V23" s="2" t="s">
        <v>41</v>
      </c>
      <c r="W23" s="2" t="s">
        <v>40</v>
      </c>
      <c r="X23" s="2" t="s">
        <v>40</v>
      </c>
      <c r="Y23" s="4" t="b">
        <f>FALSE()</f>
        <v>0</v>
      </c>
      <c r="Z23" s="2" t="s">
        <v>49</v>
      </c>
      <c r="AA23" s="2" t="s">
        <v>50</v>
      </c>
      <c r="AB23" s="4">
        <v>794272</v>
      </c>
      <c r="AC23" s="4">
        <v>220000</v>
      </c>
      <c r="AD23" s="4" t="b">
        <f>FALSE()</f>
        <v>0</v>
      </c>
      <c r="AE23" s="2" t="s">
        <v>51</v>
      </c>
      <c r="AF23" s="2" t="s">
        <v>40</v>
      </c>
      <c r="AG23" s="2" t="s">
        <v>52</v>
      </c>
      <c r="AH23" s="2" t="s">
        <v>40</v>
      </c>
      <c r="AI23" s="4">
        <v>24</v>
      </c>
      <c r="AJ23" s="5">
        <v>0</v>
      </c>
      <c r="AK23" s="5">
        <v>0</v>
      </c>
      <c r="AL23" s="5">
        <v>294831</v>
      </c>
      <c r="AM23" s="5">
        <v>0</v>
      </c>
    </row>
    <row r="24" spans="1:39" x14ac:dyDescent="0.25">
      <c r="A24" s="2" t="s">
        <v>39</v>
      </c>
      <c r="B24" s="2" t="s">
        <v>40</v>
      </c>
      <c r="C24" s="3">
        <v>45658</v>
      </c>
      <c r="D24" s="3">
        <v>45658</v>
      </c>
      <c r="E24" s="2" t="s">
        <v>41</v>
      </c>
      <c r="F24" s="2" t="s">
        <v>78</v>
      </c>
      <c r="G24" s="2" t="s">
        <v>78</v>
      </c>
      <c r="H24" s="2" t="s">
        <v>75</v>
      </c>
      <c r="I24" s="2" t="s">
        <v>76</v>
      </c>
      <c r="J24" s="2" t="s">
        <v>77</v>
      </c>
      <c r="K24" s="2" t="s">
        <v>40</v>
      </c>
      <c r="L24" s="2" t="s">
        <v>77</v>
      </c>
      <c r="M24" s="2" t="s">
        <v>40</v>
      </c>
      <c r="N24" s="4" t="b">
        <f>FALSE()</f>
        <v>0</v>
      </c>
      <c r="O24" s="2" t="s">
        <v>41</v>
      </c>
      <c r="P24" s="2" t="s">
        <v>40</v>
      </c>
      <c r="Q24" s="2" t="s">
        <v>40</v>
      </c>
      <c r="R24" s="7">
        <v>-382331</v>
      </c>
      <c r="S24" s="5">
        <v>-382331</v>
      </c>
      <c r="T24" s="2" t="s">
        <v>43</v>
      </c>
      <c r="U24" s="2" t="s">
        <v>40</v>
      </c>
      <c r="V24" s="2" t="s">
        <v>41</v>
      </c>
      <c r="W24" s="2" t="s">
        <v>40</v>
      </c>
      <c r="X24" s="2" t="s">
        <v>40</v>
      </c>
      <c r="Y24" s="4" t="b">
        <f>FALSE()</f>
        <v>0</v>
      </c>
      <c r="Z24" s="2" t="s">
        <v>49</v>
      </c>
      <c r="AA24" s="2" t="s">
        <v>50</v>
      </c>
      <c r="AB24" s="4">
        <v>794272</v>
      </c>
      <c r="AC24" s="4">
        <v>230000</v>
      </c>
      <c r="AD24" s="4" t="b">
        <f>FALSE()</f>
        <v>0</v>
      </c>
      <c r="AE24" s="2" t="s">
        <v>51</v>
      </c>
      <c r="AF24" s="2" t="s">
        <v>40</v>
      </c>
      <c r="AG24" s="2" t="s">
        <v>52</v>
      </c>
      <c r="AH24" s="2" t="s">
        <v>40</v>
      </c>
      <c r="AI24" s="4">
        <v>24</v>
      </c>
      <c r="AJ24" s="5">
        <v>0</v>
      </c>
      <c r="AK24" s="5">
        <v>0</v>
      </c>
      <c r="AL24" s="5">
        <v>-87500</v>
      </c>
      <c r="AM24" s="5">
        <v>0</v>
      </c>
    </row>
    <row r="25" spans="1:39" x14ac:dyDescent="0.25">
      <c r="A25" s="2" t="s">
        <v>39</v>
      </c>
      <c r="B25" s="2" t="s">
        <v>40</v>
      </c>
      <c r="C25" s="3">
        <v>45658</v>
      </c>
      <c r="D25" s="3">
        <v>45658</v>
      </c>
      <c r="E25" s="2" t="s">
        <v>41</v>
      </c>
      <c r="F25" s="2" t="s">
        <v>78</v>
      </c>
      <c r="G25" s="2" t="s">
        <v>78</v>
      </c>
      <c r="H25" s="2" t="s">
        <v>43</v>
      </c>
      <c r="I25" s="2" t="s">
        <v>60</v>
      </c>
      <c r="J25" s="2" t="s">
        <v>61</v>
      </c>
      <c r="K25" s="2" t="s">
        <v>40</v>
      </c>
      <c r="L25" s="2" t="s">
        <v>83</v>
      </c>
      <c r="M25" s="2" t="s">
        <v>40</v>
      </c>
      <c r="N25" s="4" t="b">
        <f>FALSE()</f>
        <v>0</v>
      </c>
      <c r="O25" s="2" t="s">
        <v>47</v>
      </c>
      <c r="P25" s="2" t="s">
        <v>48</v>
      </c>
      <c r="Q25" s="2" t="s">
        <v>48</v>
      </c>
      <c r="R25" s="7">
        <v>87500</v>
      </c>
      <c r="S25" s="5">
        <v>87500</v>
      </c>
      <c r="T25" s="2" t="s">
        <v>43</v>
      </c>
      <c r="U25" s="2" t="s">
        <v>40</v>
      </c>
      <c r="V25" s="2" t="s">
        <v>41</v>
      </c>
      <c r="W25" s="2" t="s">
        <v>40</v>
      </c>
      <c r="X25" s="2" t="s">
        <v>40</v>
      </c>
      <c r="Y25" s="4" t="b">
        <f>FALSE()</f>
        <v>0</v>
      </c>
      <c r="Z25" s="2" t="s">
        <v>49</v>
      </c>
      <c r="AA25" s="2" t="s">
        <v>50</v>
      </c>
      <c r="AB25" s="4">
        <v>794272</v>
      </c>
      <c r="AC25" s="4">
        <v>240000</v>
      </c>
      <c r="AD25" s="4" t="b">
        <f>FALSE()</f>
        <v>0</v>
      </c>
      <c r="AE25" s="2" t="s">
        <v>51</v>
      </c>
      <c r="AF25" s="2" t="s">
        <v>40</v>
      </c>
      <c r="AG25" s="2" t="s">
        <v>52</v>
      </c>
      <c r="AH25" s="2" t="s">
        <v>40</v>
      </c>
      <c r="AI25" s="4">
        <v>24</v>
      </c>
      <c r="AJ25" s="5">
        <v>0</v>
      </c>
      <c r="AK25" s="5">
        <v>0</v>
      </c>
      <c r="AL25" s="5">
        <v>0</v>
      </c>
      <c r="AM25" s="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Journals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Muthaura</dc:creator>
  <cp:lastModifiedBy>Mike Muthaura</cp:lastModifiedBy>
  <dcterms:created xsi:type="dcterms:W3CDTF">2026-02-09T19:46:44Z</dcterms:created>
  <dcterms:modified xsi:type="dcterms:W3CDTF">2026-02-09T19:46:44Z</dcterms:modified>
</cp:coreProperties>
</file>