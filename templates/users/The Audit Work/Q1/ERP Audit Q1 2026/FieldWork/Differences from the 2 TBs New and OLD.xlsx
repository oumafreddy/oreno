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ouma.fred\Desktop\Internal Audit\2026 Audits\The Audit Work\ERP Audit Q1 2026\FieldWork\"/>
    </mc:Choice>
  </mc:AlternateContent>
  <xr:revisionPtr revIDLastSave="0" documentId="13_ncr:1_{CC2C7722-B34F-4AE7-A322-2F9A98C6BE39}" xr6:coauthVersionLast="47" xr6:coauthVersionMax="47" xr10:uidLastSave="{00000000-0000-0000-0000-000000000000}"/>
  <bookViews>
    <workbookView xWindow="28680" yWindow="-120" windowWidth="29040" windowHeight="15720" firstSheet="1" activeTab="1" xr2:uid="{C55FA378-F881-4078-83C4-0E6B1D0F4E49}"/>
  </bookViews>
  <sheets>
    <sheet name="Acerno_Cache_XXXXX" sheetId="2" state="veryHidden" r:id="rId1"/>
    <sheet name="Sheet4" sheetId="1"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86" i="1" l="1"/>
  <c r="G189" i="1"/>
  <c r="G190" i="1"/>
  <c r="G193" i="1"/>
  <c r="G194" i="1"/>
  <c r="G197" i="1"/>
  <c r="G198" i="1"/>
  <c r="G201" i="1"/>
  <c r="G202" i="1"/>
  <c r="G205" i="1"/>
  <c r="G206" i="1"/>
  <c r="G209" i="1"/>
  <c r="G210" i="1"/>
  <c r="G213" i="1"/>
  <c r="G214" i="1"/>
  <c r="G217" i="1"/>
  <c r="G218" i="1"/>
  <c r="G221" i="1"/>
  <c r="G222" i="1"/>
  <c r="G225" i="1"/>
  <c r="G226" i="1"/>
  <c r="G229" i="1"/>
  <c r="G230" i="1"/>
  <c r="G233" i="1"/>
  <c r="G234" i="1"/>
  <c r="G182" i="1"/>
  <c r="G185" i="1"/>
  <c r="G181" i="1"/>
  <c r="G177" i="1"/>
  <c r="G32" i="1"/>
  <c r="G261" i="1"/>
  <c r="I261" i="1" s="1"/>
  <c r="D261" i="1"/>
  <c r="F257" i="1"/>
  <c r="D257" i="1"/>
  <c r="H257" i="1" s="1"/>
  <c r="F253" i="1"/>
  <c r="G249" i="1"/>
  <c r="F245" i="1"/>
  <c r="F241" i="1"/>
  <c r="F237" i="1"/>
  <c r="D237" i="1"/>
  <c r="F233" i="1"/>
  <c r="F229" i="1"/>
  <c r="D229" i="1"/>
  <c r="F225" i="1"/>
  <c r="D225" i="1"/>
  <c r="F221" i="1"/>
  <c r="D221" i="1"/>
  <c r="F217" i="1"/>
  <c r="D217" i="1"/>
  <c r="H217" i="1" s="1"/>
  <c r="F213" i="1"/>
  <c r="D213" i="1"/>
  <c r="F209" i="1"/>
  <c r="D209" i="1"/>
  <c r="F205" i="1"/>
  <c r="D205" i="1"/>
  <c r="F201" i="1"/>
  <c r="H201" i="1" s="1"/>
  <c r="D201" i="1"/>
  <c r="F197" i="1"/>
  <c r="D197" i="1"/>
  <c r="H193" i="1"/>
  <c r="F193" i="1"/>
  <c r="D193" i="1"/>
  <c r="F189" i="1"/>
  <c r="D189" i="1"/>
  <c r="F185" i="1"/>
  <c r="D185" i="1"/>
  <c r="F181" i="1"/>
  <c r="D181" i="1"/>
  <c r="F177" i="1"/>
  <c r="H177" i="1" s="1"/>
  <c r="D177" i="1"/>
  <c r="F173" i="1"/>
  <c r="F169" i="1"/>
  <c r="F165" i="1"/>
  <c r="D165" i="1"/>
  <c r="F161" i="1"/>
  <c r="D161" i="1"/>
  <c r="F157" i="1"/>
  <c r="D157" i="1"/>
  <c r="F153" i="1"/>
  <c r="D153" i="1"/>
  <c r="F149" i="1"/>
  <c r="D149" i="1"/>
  <c r="F145" i="1"/>
  <c r="D145" i="1"/>
  <c r="F141" i="1"/>
  <c r="D141" i="1"/>
  <c r="F137" i="1"/>
  <c r="D137" i="1"/>
  <c r="F133" i="1"/>
  <c r="D133" i="1"/>
  <c r="F129" i="1"/>
  <c r="D129" i="1"/>
  <c r="F125" i="1"/>
  <c r="D125" i="1"/>
  <c r="F121" i="1"/>
  <c r="D121" i="1"/>
  <c r="F117" i="1"/>
  <c r="D117" i="1"/>
  <c r="F113" i="1"/>
  <c r="D113" i="1"/>
  <c r="F109" i="1"/>
  <c r="D109" i="1"/>
  <c r="G105" i="1"/>
  <c r="H105" i="1" s="1"/>
  <c r="E105" i="1"/>
  <c r="G101" i="1"/>
  <c r="H97" i="1"/>
  <c r="G97" i="1"/>
  <c r="E97" i="1"/>
  <c r="G93" i="1"/>
  <c r="E93" i="1"/>
  <c r="G89" i="1"/>
  <c r="G85" i="1"/>
  <c r="E85" i="1"/>
  <c r="H81" i="1"/>
  <c r="G81" i="1"/>
  <c r="E81" i="1"/>
  <c r="G77" i="1"/>
  <c r="G73" i="1"/>
  <c r="H73" i="1" s="1"/>
  <c r="E73" i="1"/>
  <c r="G69" i="1"/>
  <c r="I69" i="1" s="1"/>
  <c r="E69" i="1"/>
  <c r="G65" i="1"/>
  <c r="E65" i="1"/>
  <c r="G61" i="1"/>
  <c r="E61" i="1"/>
  <c r="F56" i="1"/>
  <c r="E56" i="1"/>
  <c r="F52" i="1"/>
  <c r="E52" i="1"/>
  <c r="G52" i="1" s="1"/>
  <c r="F48" i="1"/>
  <c r="F44" i="1"/>
  <c r="D44" i="1"/>
  <c r="F40" i="1"/>
  <c r="D40" i="1"/>
  <c r="F36" i="1"/>
  <c r="F32" i="1"/>
  <c r="D32" i="1"/>
  <c r="F28" i="1"/>
  <c r="D28" i="1"/>
  <c r="G24" i="1"/>
  <c r="F24" i="1"/>
  <c r="D24" i="1"/>
  <c r="F20" i="1"/>
  <c r="F16" i="1"/>
  <c r="D16" i="1"/>
  <c r="F12" i="1"/>
  <c r="D12" i="1"/>
  <c r="F8" i="1"/>
  <c r="F4" i="1"/>
  <c r="D4" i="1"/>
  <c r="H261" i="1" l="1"/>
  <c r="G56" i="1"/>
</calcChain>
</file>

<file path=xl/sharedStrings.xml><?xml version="1.0" encoding="utf-8"?>
<sst xmlns="http://schemas.openxmlformats.org/spreadsheetml/2006/main" count="707" uniqueCount="132">
  <si>
    <t>1109</t>
  </si>
  <si>
    <t xml:space="preserve">  Total Fixed Assets</t>
  </si>
  <si>
    <t/>
  </si>
  <si>
    <t>1119</t>
  </si>
  <si>
    <t xml:space="preserve">  Total Accum.Depreciation</t>
  </si>
  <si>
    <t>1120</t>
  </si>
  <si>
    <t xml:space="preserve">  Net Fixed Assets</t>
  </si>
  <si>
    <t>1129</t>
  </si>
  <si>
    <t xml:space="preserve">  Total Investments</t>
  </si>
  <si>
    <t>1139</t>
  </si>
  <si>
    <t xml:space="preserve">   Total Related Party Long Term</t>
  </si>
  <si>
    <t>1429</t>
  </si>
  <si>
    <t xml:space="preserve">    Total Cash &amp; Cash Equivalents</t>
  </si>
  <si>
    <t>1449</t>
  </si>
  <si>
    <t xml:space="preserve">    Total Employee Advances</t>
  </si>
  <si>
    <t>1459</t>
  </si>
  <si>
    <t xml:space="preserve">    Total Account receivables</t>
  </si>
  <si>
    <t>1479</t>
  </si>
  <si>
    <t xml:space="preserve">    Total Related Party Rcvables</t>
  </si>
  <si>
    <t>1489</t>
  </si>
  <si>
    <t xml:space="preserve">    Total Implementing Partners/SRs </t>
  </si>
  <si>
    <t>1599</t>
  </si>
  <si>
    <t xml:space="preserve">    Total Control Account</t>
  </si>
  <si>
    <t>1650</t>
  </si>
  <si>
    <t xml:space="preserve">    Total Inventory</t>
  </si>
  <si>
    <t>1699</t>
  </si>
  <si>
    <t xml:space="preserve">  Total Current ASSETS</t>
  </si>
  <si>
    <t>1999</t>
  </si>
  <si>
    <t>Total ASSETS</t>
  </si>
  <si>
    <t>2019</t>
  </si>
  <si>
    <t xml:space="preserve">  Total Accounts Payable</t>
  </si>
  <si>
    <t>2120</t>
  </si>
  <si>
    <t xml:space="preserve">  Total personnel Payables</t>
  </si>
  <si>
    <t>2399</t>
  </si>
  <si>
    <t xml:space="preserve">  Total Inter-project  payable</t>
  </si>
  <si>
    <t>2999</t>
  </si>
  <si>
    <t xml:space="preserve">  Total Current Liabilities</t>
  </si>
  <si>
    <t>3599</t>
  </si>
  <si>
    <t xml:space="preserve">  Total Reserves</t>
  </si>
  <si>
    <t>3999</t>
  </si>
  <si>
    <t>TOTAL LIABILITIES</t>
  </si>
  <si>
    <t>4929</t>
  </si>
  <si>
    <t xml:space="preserve">    Total Rental &amp; Sale of Cards</t>
  </si>
  <si>
    <t>4939</t>
  </si>
  <si>
    <t xml:space="preserve">    Total First Aid income</t>
  </si>
  <si>
    <t>4949</t>
  </si>
  <si>
    <t xml:space="preserve">    Total Project Recoveries</t>
  </si>
  <si>
    <t>4969</t>
  </si>
  <si>
    <t xml:space="preserve">    Total Other Income</t>
  </si>
  <si>
    <t>4979</t>
  </si>
  <si>
    <t xml:space="preserve">    Total Fund Raising</t>
  </si>
  <si>
    <t>4999</t>
  </si>
  <si>
    <t xml:space="preserve">  Total Income</t>
  </si>
  <si>
    <t>5009</t>
  </si>
  <si>
    <t xml:space="preserve">    Total WIP</t>
  </si>
  <si>
    <t>5019</t>
  </si>
  <si>
    <t xml:space="preserve">    Total Shelter/Constrn expenses</t>
  </si>
  <si>
    <t>5109</t>
  </si>
  <si>
    <t xml:space="preserve">    Total Clothing and textile exp</t>
  </si>
  <si>
    <t>5209</t>
  </si>
  <si>
    <t xml:space="preserve">    Total Food Expenses</t>
  </si>
  <si>
    <t>5239</t>
  </si>
  <si>
    <t xml:space="preserve">    Total Planting Materials</t>
  </si>
  <si>
    <t>5309</t>
  </si>
  <si>
    <t xml:space="preserve">    Total Water project related</t>
  </si>
  <si>
    <t>5409</t>
  </si>
  <si>
    <t xml:space="preserve">    Total Medical-project related</t>
  </si>
  <si>
    <t>5509</t>
  </si>
  <si>
    <t xml:space="preserve">    Total Teaching Materials</t>
  </si>
  <si>
    <t>5609</t>
  </si>
  <si>
    <t xml:space="preserve">    Total tools &amp; Utensils</t>
  </si>
  <si>
    <t>5709</t>
  </si>
  <si>
    <t xml:space="preserve">    Total Other Pjt Supplies</t>
  </si>
  <si>
    <t>5719</t>
  </si>
  <si>
    <t xml:space="preserve">    Total Ass'ment,Campaigns,M &amp; E</t>
  </si>
  <si>
    <t>5729</t>
  </si>
  <si>
    <t xml:space="preserve">    Total Consultancy</t>
  </si>
  <si>
    <t>5829</t>
  </si>
  <si>
    <t xml:space="preserve">    Total Capital Expenditure</t>
  </si>
  <si>
    <t>5909</t>
  </si>
  <si>
    <t xml:space="preserve">    Total Freight clearing &amp; w/hse</t>
  </si>
  <si>
    <t>5939</t>
  </si>
  <si>
    <t xml:space="preserve">    Total Transport costs</t>
  </si>
  <si>
    <t>5949</t>
  </si>
  <si>
    <t xml:space="preserve">    Truck Transport costs</t>
  </si>
  <si>
    <t>5959</t>
  </si>
  <si>
    <t xml:space="preserve">    Total Tractor Services</t>
  </si>
  <si>
    <t>6319</t>
  </si>
  <si>
    <t xml:space="preserve">    Total Training/workshop costs</t>
  </si>
  <si>
    <t>6329</t>
  </si>
  <si>
    <t xml:space="preserve">    Total IEC Materials</t>
  </si>
  <si>
    <t>6609</t>
  </si>
  <si>
    <t xml:space="preserve">    Total Personnel Costs</t>
  </si>
  <si>
    <t>6619</t>
  </si>
  <si>
    <t xml:space="preserve">    Total Volunteer incentives</t>
  </si>
  <si>
    <t>7019</t>
  </si>
  <si>
    <t xml:space="preserve">    Total Travel costs</t>
  </si>
  <si>
    <t>7029</t>
  </si>
  <si>
    <t xml:space="preserve">    Total IGA Expenses</t>
  </si>
  <si>
    <t>7109</t>
  </si>
  <si>
    <t xml:space="preserve">    Total Printing &amp; Stationery</t>
  </si>
  <si>
    <t>7129</t>
  </si>
  <si>
    <t xml:space="preserve">    Total PR Activities</t>
  </si>
  <si>
    <t>7209</t>
  </si>
  <si>
    <t xml:space="preserve">    Total Publications</t>
  </si>
  <si>
    <t>7219</t>
  </si>
  <si>
    <t xml:space="preserve">    Total Levies Payable</t>
  </si>
  <si>
    <t>7319</t>
  </si>
  <si>
    <t xml:space="preserve">    Total Office Expenses</t>
  </si>
  <si>
    <t>7329</t>
  </si>
  <si>
    <t xml:space="preserve">    Total Communication expenses</t>
  </si>
  <si>
    <t>7349</t>
  </si>
  <si>
    <t xml:space="preserve">    Total Governance Expenses</t>
  </si>
  <si>
    <t>7509</t>
  </si>
  <si>
    <t xml:space="preserve">    Total Professional costs</t>
  </si>
  <si>
    <t>7609</t>
  </si>
  <si>
    <t xml:space="preserve">    Total Depreciation</t>
  </si>
  <si>
    <t>7619</t>
  </si>
  <si>
    <t xml:space="preserve">    Total loss on disposal</t>
  </si>
  <si>
    <t>7719</t>
  </si>
  <si>
    <t xml:space="preserve">    Total Fundraising expenses</t>
  </si>
  <si>
    <t>8009</t>
  </si>
  <si>
    <t xml:space="preserve">    Total Branch Support Expenses</t>
  </si>
  <si>
    <t>8109</t>
  </si>
  <si>
    <t xml:space="preserve">    Total Prior Year Expenses</t>
  </si>
  <si>
    <t>8209</t>
  </si>
  <si>
    <t xml:space="preserve">    Provision for unallocated Exp.</t>
  </si>
  <si>
    <t>8999</t>
  </si>
  <si>
    <t xml:space="preserve">  Total Expenses</t>
  </si>
  <si>
    <t>9999</t>
  </si>
  <si>
    <t>Net Deficit/ Surplus</t>
  </si>
  <si>
    <t>This difference arose as a result of post adjustment journals passed. Some key reasons by client include 1. adjustments after external audit reviews 2. Misposting of transactions when carrying out reversals 3. instances of backdating e.g., G/L Regsiteres 358, 359, 360, 361 and 362.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</si>
</sst>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10409]#,##0.00"/>
  </numFmts>
  <fonts count="8" x14ac:knownFonts="1">
    <font>
      <sz val="11"/>
      <color rgb="FF000000"/>
      <name val="Calibri"/>
      <family val="2"/>
      <scheme val="minor"/>
    </font>
    <font>
      <sz val="11"/>
      <color rgb="FF000000"/>
      <name val="Calibri"/>
      <family val="2"/>
      <scheme val="minor"/>
    </font>
    <font>
      <sz val="11"/>
      <name val="Calibri"/>
    </font>
    <font>
      <b/>
      <sz val="7"/>
      <color rgb="FF000000"/>
      <name val="Arial"/>
    </font>
    <font>
      <b/>
      <sz val="8"/>
      <color rgb="FF000000"/>
      <name val="Segoe UI"/>
      <family val="2"/>
    </font>
    <font>
      <sz val="11"/>
      <name val="Calibri"/>
      <family val="2"/>
    </font>
    <font>
      <b/>
      <sz val="11"/>
      <name val="Calibri"/>
      <family val="2"/>
    </font>
    <font>
      <b/>
      <i/>
      <sz val="11"/>
      <name val="Calibri"/>
      <family val="2"/>
    </font>
  </fonts>
  <fills count="5">
    <fill>
      <patternFill patternType="none"/>
    </fill>
    <fill>
      <patternFill patternType="gray125"/>
    </fill>
    <fill>
      <patternFill patternType="solid">
        <fgColor rgb="FFEBEBEB"/>
        <bgColor rgb="FFEBEBEB"/>
      </patternFill>
    </fill>
    <fill>
      <patternFill patternType="solid">
        <fgColor rgb="FFFFFFFF"/>
        <bgColor rgb="FFFFFFFF"/>
      </patternFill>
    </fill>
    <fill>
      <patternFill patternType="solid">
        <fgColor rgb="FF00B05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35">
    <xf numFmtId="0" fontId="0" fillId="0" borderId="0" xfId="0"/>
    <xf numFmtId="0" fontId="2" fillId="0" borderId="0" xfId="0" applyFont="1"/>
    <xf numFmtId="0" fontId="4" fillId="0" borderId="0" xfId="0" applyFont="1" applyAlignment="1">
      <alignment vertical="center" wrapText="1" readingOrder="1"/>
    </xf>
    <xf numFmtId="43" fontId="2" fillId="0" borderId="0" xfId="0" applyNumberFormat="1" applyFont="1"/>
    <xf numFmtId="0" fontId="4" fillId="3" borderId="0" xfId="0" applyFont="1" applyFill="1" applyAlignment="1">
      <alignment vertical="center" wrapText="1" readingOrder="1"/>
    </xf>
    <xf numFmtId="0" fontId="5" fillId="0" borderId="0" xfId="0" applyFont="1"/>
    <xf numFmtId="43" fontId="6" fillId="0" borderId="0" xfId="0" applyNumberFormat="1" applyFont="1"/>
    <xf numFmtId="0" fontId="7" fillId="0" borderId="0" xfId="0" applyFont="1"/>
    <xf numFmtId="0" fontId="4" fillId="2" borderId="0" xfId="0" applyFont="1" applyFill="1" applyAlignment="1">
      <alignment vertical="center" wrapText="1" readingOrder="1"/>
    </xf>
    <xf numFmtId="0" fontId="6" fillId="0" borderId="0" xfId="0" applyNumberFormat="1" applyFont="1" applyAlignment="1">
      <alignment vertical="top" wrapText="1"/>
    </xf>
    <xf numFmtId="0" fontId="2" fillId="0" borderId="0" xfId="0" applyFont="1" applyAlignment="1">
      <alignment vertical="top"/>
    </xf>
    <xf numFmtId="0" fontId="3" fillId="0" borderId="0" xfId="0" applyFont="1" applyAlignment="1">
      <alignment horizontal="right" vertical="top" wrapText="1" readingOrder="1"/>
    </xf>
    <xf numFmtId="0" fontId="3" fillId="0" borderId="0" xfId="0" applyFont="1" applyAlignment="1">
      <alignment vertical="top" wrapText="1" readingOrder="1"/>
    </xf>
    <xf numFmtId="0" fontId="2" fillId="0" borderId="0" xfId="0" applyFont="1" applyAlignment="1">
      <alignment vertical="top"/>
    </xf>
    <xf numFmtId="164" fontId="3" fillId="0" borderId="0" xfId="0" applyNumberFormat="1" applyFont="1" applyAlignment="1">
      <alignment vertical="top" wrapText="1" readingOrder="1"/>
    </xf>
    <xf numFmtId="0" fontId="3" fillId="0" borderId="0" xfId="0" applyFont="1" applyAlignment="1">
      <alignment vertical="top" wrapText="1" readingOrder="1"/>
    </xf>
    <xf numFmtId="0" fontId="4" fillId="2" borderId="0" xfId="0" applyFont="1" applyFill="1" applyAlignment="1">
      <alignment horizontal="left" vertical="top" wrapText="1" readingOrder="1"/>
    </xf>
    <xf numFmtId="0" fontId="4" fillId="0" borderId="0" xfId="0" applyFont="1" applyAlignment="1">
      <alignment vertical="top" wrapText="1" readingOrder="1"/>
    </xf>
    <xf numFmtId="164" fontId="4" fillId="2" borderId="0" xfId="0" applyNumberFormat="1" applyFont="1" applyFill="1" applyAlignment="1">
      <alignment vertical="top" wrapText="1" readingOrder="1"/>
    </xf>
    <xf numFmtId="0" fontId="5" fillId="0" borderId="0" xfId="0" applyFont="1" applyAlignment="1">
      <alignment vertical="top"/>
    </xf>
    <xf numFmtId="43" fontId="2" fillId="0" borderId="0" xfId="1" applyFont="1" applyAlignment="1">
      <alignment vertical="top"/>
    </xf>
    <xf numFmtId="43" fontId="2" fillId="0" borderId="0" xfId="0" applyNumberFormat="1" applyFont="1" applyAlignment="1">
      <alignment vertical="top"/>
    </xf>
    <xf numFmtId="0" fontId="4" fillId="3" borderId="0" xfId="0" applyFont="1" applyFill="1" applyAlignment="1">
      <alignment horizontal="left" vertical="top" wrapText="1" readingOrder="1"/>
    </xf>
    <xf numFmtId="43" fontId="4" fillId="0" borderId="0" xfId="1" applyFont="1" applyAlignment="1">
      <alignment vertical="top" wrapText="1" readingOrder="1"/>
    </xf>
    <xf numFmtId="164" fontId="4" fillId="3" borderId="0" xfId="0" applyNumberFormat="1" applyFont="1" applyFill="1" applyAlignment="1">
      <alignment vertical="top" wrapText="1" readingOrder="1"/>
    </xf>
    <xf numFmtId="4" fontId="2" fillId="0" borderId="0" xfId="0" applyNumberFormat="1" applyFont="1" applyAlignment="1">
      <alignment vertical="top"/>
    </xf>
    <xf numFmtId="43" fontId="6" fillId="4" borderId="0" xfId="1" applyFont="1" applyFill="1" applyAlignment="1">
      <alignment vertical="top"/>
    </xf>
    <xf numFmtId="0" fontId="6" fillId="0" borderId="0" xfId="0" applyFont="1" applyAlignment="1">
      <alignment vertical="top"/>
    </xf>
    <xf numFmtId="43" fontId="6" fillId="0" borderId="0" xfId="1" applyFont="1" applyAlignment="1">
      <alignment vertical="top"/>
    </xf>
    <xf numFmtId="43" fontId="6" fillId="0" borderId="0" xfId="0" applyNumberFormat="1" applyFont="1" applyAlignment="1">
      <alignment vertical="top"/>
    </xf>
    <xf numFmtId="43" fontId="7" fillId="0" borderId="0" xfId="1" applyFont="1" applyAlignment="1">
      <alignment vertical="top"/>
    </xf>
    <xf numFmtId="0" fontId="7" fillId="0" borderId="0" xfId="0" applyFont="1" applyAlignment="1">
      <alignment vertical="top"/>
    </xf>
    <xf numFmtId="43" fontId="7" fillId="0" borderId="0" xfId="0" applyNumberFormat="1" applyFont="1" applyAlignment="1">
      <alignment vertical="top"/>
    </xf>
    <xf numFmtId="0" fontId="4" fillId="2" borderId="0" xfId="0" applyFont="1" applyFill="1" applyAlignment="1">
      <alignment vertical="top" wrapText="1" readingOrder="1"/>
    </xf>
    <xf numFmtId="0" fontId="0" fillId="0" borderId="0" xfId="0" applyAlignment="1">
      <alignment shrinkToFi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37113-9EA1-4C10-B20F-B227A32E8013}">
  <dimension ref="A1"/>
  <sheetViews>
    <sheetView workbookViewId="0"/>
  </sheetViews>
  <sheetFormatPr defaultRowHeight="14.5" x14ac:dyDescent="0.35"/>
  <cols>
    <col min="1" max="16384" width="8.7265625" style="34"/>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E14B59-385F-4095-9B77-1BBA1F905F59}">
  <dimension ref="A1:M261"/>
  <sheetViews>
    <sheetView tabSelected="1" zoomScaleNormal="100" workbookViewId="0">
      <selection activeCell="G11" sqref="G11"/>
    </sheetView>
  </sheetViews>
  <sheetFormatPr defaultRowHeight="14.5" x14ac:dyDescent="0.35"/>
  <cols>
    <col min="1" max="1" width="8.7265625" style="1"/>
    <col min="2" max="2" width="27.90625" style="1" bestFit="1" customWidth="1"/>
    <col min="3" max="3" width="8.7265625" style="1"/>
    <col min="4" max="5" width="16.08984375" style="1" bestFit="1" customWidth="1"/>
    <col min="6" max="6" width="17.1796875" style="1" bestFit="1" customWidth="1"/>
    <col min="7" max="7" width="17.26953125" style="1" bestFit="1" customWidth="1"/>
    <col min="8" max="8" width="106.81640625" style="1" customWidth="1"/>
    <col min="9" max="9" width="12.54296875" style="1" bestFit="1" customWidth="1"/>
    <col min="10" max="16384" width="8.7265625" style="1"/>
  </cols>
  <sheetData>
    <row r="1" spans="1:12" x14ac:dyDescent="0.35">
      <c r="A1" s="10"/>
      <c r="B1" s="10"/>
      <c r="C1" s="10"/>
      <c r="D1" s="10"/>
      <c r="E1" s="10"/>
      <c r="F1" s="10"/>
      <c r="G1" s="10"/>
      <c r="H1" s="10"/>
    </row>
    <row r="2" spans="1:12" x14ac:dyDescent="0.35">
      <c r="A2" s="11" t="s">
        <v>0</v>
      </c>
      <c r="B2" s="12" t="s">
        <v>1</v>
      </c>
      <c r="C2" s="13"/>
      <c r="D2" s="14">
        <v>11033022</v>
      </c>
      <c r="E2" s="15" t="s">
        <v>2</v>
      </c>
      <c r="F2" s="14">
        <v>589507701.05999994</v>
      </c>
      <c r="G2" s="10"/>
      <c r="H2" s="10"/>
    </row>
    <row r="3" spans="1:12" x14ac:dyDescent="0.35">
      <c r="A3" s="16" t="s">
        <v>0</v>
      </c>
      <c r="B3" s="16" t="s">
        <v>1</v>
      </c>
      <c r="C3" s="17" t="s">
        <v>2</v>
      </c>
      <c r="D3" s="18">
        <v>11033022</v>
      </c>
      <c r="E3" s="17" t="s">
        <v>2</v>
      </c>
      <c r="F3" s="18">
        <v>589507701.05999994</v>
      </c>
      <c r="G3" s="19"/>
      <c r="H3" s="10"/>
    </row>
    <row r="4" spans="1:12" x14ac:dyDescent="0.35">
      <c r="A4" s="10"/>
      <c r="B4" s="10"/>
      <c r="C4" s="10"/>
      <c r="D4" s="20">
        <f>D3-D2</f>
        <v>0</v>
      </c>
      <c r="E4" s="20"/>
      <c r="F4" s="20">
        <f>F3-F2</f>
        <v>0</v>
      </c>
      <c r="G4" s="10"/>
      <c r="H4" s="10"/>
    </row>
    <row r="5" spans="1:12" x14ac:dyDescent="0.35">
      <c r="A5" s="10"/>
      <c r="B5" s="10"/>
      <c r="C5" s="10"/>
      <c r="D5" s="10"/>
      <c r="E5" s="10"/>
      <c r="F5" s="10"/>
      <c r="G5" s="10"/>
      <c r="H5" s="10"/>
    </row>
    <row r="6" spans="1:12" x14ac:dyDescent="0.35">
      <c r="A6" s="10" t="s">
        <v>3</v>
      </c>
      <c r="B6" s="10" t="s">
        <v>4</v>
      </c>
      <c r="C6" s="10"/>
      <c r="D6" s="10" t="s">
        <v>2</v>
      </c>
      <c r="E6" s="10" t="s">
        <v>2</v>
      </c>
      <c r="F6" s="20">
        <v>174570991.53</v>
      </c>
      <c r="G6" s="10"/>
      <c r="H6" s="10"/>
    </row>
    <row r="7" spans="1:12" x14ac:dyDescent="0.35">
      <c r="A7" s="10" t="s">
        <v>3</v>
      </c>
      <c r="B7" s="10" t="s">
        <v>4</v>
      </c>
      <c r="C7" s="10" t="s">
        <v>2</v>
      </c>
      <c r="D7" s="10" t="s">
        <v>2</v>
      </c>
      <c r="E7" s="10" t="s">
        <v>2</v>
      </c>
      <c r="F7" s="20">
        <v>174570991.53</v>
      </c>
      <c r="G7" s="10"/>
      <c r="H7" s="10"/>
      <c r="I7" s="1" t="s">
        <v>2</v>
      </c>
      <c r="J7" s="1" t="s">
        <v>2</v>
      </c>
      <c r="K7" s="1" t="s">
        <v>2</v>
      </c>
    </row>
    <row r="8" spans="1:12" x14ac:dyDescent="0.35">
      <c r="A8" s="10"/>
      <c r="B8" s="10"/>
      <c r="C8" s="10"/>
      <c r="D8" s="10"/>
      <c r="E8" s="10"/>
      <c r="F8" s="20">
        <f>F7-F6</f>
        <v>0</v>
      </c>
      <c r="G8" s="10"/>
      <c r="H8" s="10"/>
    </row>
    <row r="9" spans="1:12" x14ac:dyDescent="0.35">
      <c r="A9" s="10"/>
      <c r="B9" s="10"/>
      <c r="C9" s="10"/>
      <c r="D9" s="10"/>
      <c r="E9" s="10"/>
      <c r="F9" s="10"/>
      <c r="G9" s="10"/>
      <c r="H9" s="10"/>
    </row>
    <row r="10" spans="1:12" x14ac:dyDescent="0.35">
      <c r="A10" s="10" t="s">
        <v>5</v>
      </c>
      <c r="B10" s="10" t="s">
        <v>6</v>
      </c>
      <c r="C10" s="10"/>
      <c r="D10" s="20">
        <v>11033022</v>
      </c>
      <c r="E10" s="10" t="s">
        <v>2</v>
      </c>
      <c r="F10" s="20">
        <v>414936709.52999997</v>
      </c>
      <c r="G10" s="10"/>
      <c r="H10" s="10"/>
    </row>
    <row r="11" spans="1:12" x14ac:dyDescent="0.35">
      <c r="A11" s="10" t="s">
        <v>5</v>
      </c>
      <c r="B11" s="10" t="s">
        <v>6</v>
      </c>
      <c r="C11" s="10" t="s">
        <v>2</v>
      </c>
      <c r="D11" s="20">
        <v>11033022</v>
      </c>
      <c r="E11" s="20" t="s">
        <v>2</v>
      </c>
      <c r="F11" s="20">
        <v>414936709.52999997</v>
      </c>
      <c r="G11" s="10"/>
      <c r="H11" s="10"/>
      <c r="I11" s="1" t="s">
        <v>2</v>
      </c>
      <c r="K11" s="1" t="s">
        <v>2</v>
      </c>
      <c r="L11" s="1" t="s">
        <v>2</v>
      </c>
    </row>
    <row r="12" spans="1:12" x14ac:dyDescent="0.35">
      <c r="A12" s="10"/>
      <c r="B12" s="10"/>
      <c r="C12" s="10"/>
      <c r="D12" s="21">
        <f>D11-D10</f>
        <v>0</v>
      </c>
      <c r="E12" s="10"/>
      <c r="F12" s="21">
        <f>F11-F10</f>
        <v>0</v>
      </c>
      <c r="G12" s="10"/>
      <c r="H12" s="10"/>
    </row>
    <row r="13" spans="1:12" x14ac:dyDescent="0.35">
      <c r="A13" s="10"/>
      <c r="B13" s="10"/>
      <c r="C13" s="10"/>
      <c r="D13" s="10"/>
      <c r="E13" s="10"/>
      <c r="F13" s="10"/>
      <c r="G13" s="10"/>
      <c r="H13" s="10"/>
    </row>
    <row r="14" spans="1:12" x14ac:dyDescent="0.35">
      <c r="A14" s="11" t="s">
        <v>7</v>
      </c>
      <c r="B14" s="12" t="s">
        <v>8</v>
      </c>
      <c r="C14" s="12"/>
      <c r="D14" s="14">
        <v>1389750.02</v>
      </c>
      <c r="E14" s="15" t="s">
        <v>2</v>
      </c>
      <c r="F14" s="14">
        <v>2340954711.2199998</v>
      </c>
      <c r="G14" s="10"/>
      <c r="H14" s="10"/>
    </row>
    <row r="15" spans="1:12" x14ac:dyDescent="0.35">
      <c r="A15" s="10" t="s">
        <v>7</v>
      </c>
      <c r="B15" s="10" t="s">
        <v>8</v>
      </c>
      <c r="C15" s="10" t="s">
        <v>2</v>
      </c>
      <c r="D15" s="20">
        <v>1389750.02</v>
      </c>
      <c r="E15" s="10" t="s">
        <v>2</v>
      </c>
      <c r="F15" s="20">
        <v>2340954711.2199998</v>
      </c>
      <c r="G15" s="10"/>
      <c r="H15" s="10"/>
      <c r="I15" s="1" t="s">
        <v>2</v>
      </c>
      <c r="K15" s="1" t="s">
        <v>2</v>
      </c>
      <c r="L15" s="1" t="s">
        <v>2</v>
      </c>
    </row>
    <row r="16" spans="1:12" x14ac:dyDescent="0.35">
      <c r="A16" s="10"/>
      <c r="B16" s="10"/>
      <c r="C16" s="10"/>
      <c r="D16" s="21">
        <f>D15-D14</f>
        <v>0</v>
      </c>
      <c r="E16" s="10"/>
      <c r="F16" s="21">
        <f>F15-F14</f>
        <v>0</v>
      </c>
      <c r="G16" s="10"/>
      <c r="H16" s="10"/>
    </row>
    <row r="17" spans="1:13" x14ac:dyDescent="0.35">
      <c r="A17" s="10"/>
      <c r="B17" s="10"/>
      <c r="C17" s="10"/>
      <c r="D17" s="10"/>
      <c r="E17" s="10"/>
      <c r="F17" s="10"/>
      <c r="G17" s="10"/>
      <c r="H17" s="10"/>
    </row>
    <row r="18" spans="1:13" x14ac:dyDescent="0.35">
      <c r="A18" s="11" t="s">
        <v>9</v>
      </c>
      <c r="B18" s="12" t="s">
        <v>10</v>
      </c>
      <c r="C18" s="12"/>
      <c r="D18" s="14">
        <v>794000</v>
      </c>
      <c r="E18" s="10"/>
      <c r="F18" s="14">
        <v>943314327.83000004</v>
      </c>
      <c r="G18" s="10"/>
      <c r="H18" s="10"/>
    </row>
    <row r="19" spans="1:13" x14ac:dyDescent="0.35">
      <c r="A19" s="22" t="s">
        <v>9</v>
      </c>
      <c r="B19" s="22" t="s">
        <v>10</v>
      </c>
      <c r="C19" s="17" t="s">
        <v>2</v>
      </c>
      <c r="D19" s="23">
        <v>794000</v>
      </c>
      <c r="E19" s="10"/>
      <c r="F19" s="24">
        <v>943314327.83000004</v>
      </c>
      <c r="G19" s="19"/>
      <c r="H19" s="19"/>
      <c r="I19" s="2" t="s">
        <v>2</v>
      </c>
      <c r="K19" s="2" t="s">
        <v>2</v>
      </c>
      <c r="L19" s="4" t="s">
        <v>2</v>
      </c>
      <c r="M19" s="5"/>
    </row>
    <row r="20" spans="1:13" x14ac:dyDescent="0.35">
      <c r="A20" s="10"/>
      <c r="B20" s="10"/>
      <c r="C20" s="10"/>
      <c r="D20" s="10"/>
      <c r="E20" s="10"/>
      <c r="F20" s="25">
        <f>F18-F19</f>
        <v>0</v>
      </c>
      <c r="G20" s="10"/>
      <c r="H20" s="10"/>
    </row>
    <row r="21" spans="1:13" x14ac:dyDescent="0.35">
      <c r="A21" s="10"/>
      <c r="B21" s="10"/>
      <c r="C21" s="10"/>
      <c r="D21" s="10"/>
      <c r="E21" s="10"/>
      <c r="F21" s="10"/>
      <c r="G21" s="10"/>
      <c r="H21" s="10"/>
    </row>
    <row r="22" spans="1:13" x14ac:dyDescent="0.35">
      <c r="A22" s="10" t="s">
        <v>11</v>
      </c>
      <c r="B22" s="10" t="s">
        <v>12</v>
      </c>
      <c r="C22" s="10"/>
      <c r="D22" s="20">
        <v>162807578.18000001</v>
      </c>
      <c r="E22" s="10"/>
      <c r="F22" s="20">
        <v>718731148.04999995</v>
      </c>
      <c r="G22" s="10" t="s">
        <v>2</v>
      </c>
      <c r="H22" s="10"/>
    </row>
    <row r="23" spans="1:13" x14ac:dyDescent="0.35">
      <c r="A23" s="10" t="s">
        <v>11</v>
      </c>
      <c r="B23" s="10" t="s">
        <v>12</v>
      </c>
      <c r="C23" s="10" t="s">
        <v>2</v>
      </c>
      <c r="D23" s="20">
        <v>154988857.84</v>
      </c>
      <c r="E23" s="10" t="s">
        <v>2</v>
      </c>
      <c r="F23" s="20">
        <v>728150352.90999997</v>
      </c>
      <c r="G23" s="10"/>
      <c r="H23" s="10"/>
      <c r="I23" s="1" t="s">
        <v>2</v>
      </c>
      <c r="K23" s="1" t="s">
        <v>2</v>
      </c>
      <c r="L23" s="1" t="s">
        <v>2</v>
      </c>
    </row>
    <row r="24" spans="1:13" ht="43" customHeight="1" x14ac:dyDescent="0.35">
      <c r="A24" s="10"/>
      <c r="B24" s="10"/>
      <c r="C24" s="10"/>
      <c r="D24" s="26">
        <f>D23-D22</f>
        <v>-7818720.3400000036</v>
      </c>
      <c r="E24" s="27"/>
      <c r="F24" s="28">
        <f>F23-F22</f>
        <v>9419204.8600000143</v>
      </c>
      <c r="G24" s="29">
        <f>-F24-D24</f>
        <v>-1600484.5200000107</v>
      </c>
      <c r="H24" s="9" t="s">
        <v>131</v>
      </c>
      <c r="I24" s="7"/>
    </row>
    <row r="25" spans="1:13" x14ac:dyDescent="0.35">
      <c r="A25" s="10"/>
      <c r="B25" s="10"/>
      <c r="C25" s="10"/>
      <c r="D25" s="10"/>
      <c r="E25" s="10"/>
      <c r="F25" s="10"/>
      <c r="G25" s="10"/>
      <c r="H25" s="10"/>
    </row>
    <row r="26" spans="1:13" x14ac:dyDescent="0.35">
      <c r="A26" s="10" t="s">
        <v>13</v>
      </c>
      <c r="B26" s="10" t="s">
        <v>14</v>
      </c>
      <c r="C26" s="10"/>
      <c r="D26" s="20">
        <v>5030006.37</v>
      </c>
      <c r="E26" s="20"/>
      <c r="F26" s="20">
        <v>49043921.270000003</v>
      </c>
      <c r="G26" s="10"/>
      <c r="H26" s="10"/>
    </row>
    <row r="27" spans="1:13" x14ac:dyDescent="0.35">
      <c r="A27" s="10" t="s">
        <v>13</v>
      </c>
      <c r="B27" s="10" t="s">
        <v>14</v>
      </c>
      <c r="C27" s="10" t="s">
        <v>2</v>
      </c>
      <c r="D27" s="20">
        <v>1831082.84</v>
      </c>
      <c r="E27" s="20" t="s">
        <v>2</v>
      </c>
      <c r="F27" s="20">
        <v>45844997.740000002</v>
      </c>
      <c r="G27" s="10"/>
      <c r="H27" s="10"/>
      <c r="I27" s="1" t="s">
        <v>2</v>
      </c>
      <c r="J27" s="1" t="s">
        <v>2</v>
      </c>
      <c r="K27" s="1" t="s">
        <v>2</v>
      </c>
    </row>
    <row r="28" spans="1:13" x14ac:dyDescent="0.35">
      <c r="A28" s="10"/>
      <c r="B28" s="10"/>
      <c r="C28" s="10"/>
      <c r="D28" s="30">
        <f>D27-D26</f>
        <v>-3198923.5300000003</v>
      </c>
      <c r="E28" s="30"/>
      <c r="F28" s="30">
        <f>F27-F26</f>
        <v>-3198923.5300000012</v>
      </c>
      <c r="G28" s="10"/>
      <c r="H28" s="10"/>
    </row>
    <row r="29" spans="1:13" x14ac:dyDescent="0.35">
      <c r="A29" s="10"/>
      <c r="B29" s="10"/>
      <c r="C29" s="10"/>
      <c r="D29" s="10"/>
      <c r="E29" s="10"/>
      <c r="F29" s="10"/>
      <c r="G29" s="10"/>
      <c r="H29" s="10"/>
    </row>
    <row r="30" spans="1:13" x14ac:dyDescent="0.35">
      <c r="A30" s="10" t="s">
        <v>15</v>
      </c>
      <c r="B30" s="10" t="s">
        <v>16</v>
      </c>
      <c r="C30" s="10"/>
      <c r="D30" s="20">
        <v>15415084.949999999</v>
      </c>
      <c r="E30" s="20"/>
      <c r="F30" s="20">
        <v>361775446.62</v>
      </c>
      <c r="G30" s="10"/>
      <c r="H30" s="10"/>
    </row>
    <row r="31" spans="1:13" x14ac:dyDescent="0.35">
      <c r="A31" s="10" t="s">
        <v>15</v>
      </c>
      <c r="B31" s="10" t="s">
        <v>16</v>
      </c>
      <c r="C31" s="10" t="s">
        <v>2</v>
      </c>
      <c r="D31" s="20">
        <v>13999280.92</v>
      </c>
      <c r="E31" s="20" t="s">
        <v>2</v>
      </c>
      <c r="F31" s="20">
        <v>358969565.00999999</v>
      </c>
      <c r="G31" s="10"/>
      <c r="H31" s="10"/>
      <c r="I31" s="1" t="s">
        <v>2</v>
      </c>
      <c r="J31" s="1" t="s">
        <v>2</v>
      </c>
      <c r="K31" s="1" t="s">
        <v>2</v>
      </c>
    </row>
    <row r="32" spans="1:13" x14ac:dyDescent="0.35">
      <c r="A32" s="10"/>
      <c r="B32" s="10"/>
      <c r="C32" s="10"/>
      <c r="D32" s="30">
        <f>D31-D30</f>
        <v>-1415804.0299999993</v>
      </c>
      <c r="E32" s="30"/>
      <c r="F32" s="30">
        <f>F31-F30</f>
        <v>-2805881.6100000143</v>
      </c>
      <c r="G32" s="32">
        <f>F32-D32</f>
        <v>-1390077.580000015</v>
      </c>
      <c r="H32" s="32"/>
      <c r="I32" s="7"/>
    </row>
    <row r="33" spans="1:13" x14ac:dyDescent="0.35">
      <c r="A33" s="10"/>
      <c r="B33" s="10"/>
      <c r="C33" s="10"/>
      <c r="D33" s="10"/>
      <c r="E33" s="10"/>
      <c r="F33" s="10"/>
      <c r="G33" s="10"/>
      <c r="H33" s="10"/>
    </row>
    <row r="34" spans="1:13" x14ac:dyDescent="0.35">
      <c r="A34" s="10" t="s">
        <v>17</v>
      </c>
      <c r="B34" s="10" t="s">
        <v>18</v>
      </c>
      <c r="C34" s="10"/>
      <c r="D34" s="10" t="s">
        <v>2</v>
      </c>
      <c r="E34" s="10" t="s">
        <v>2</v>
      </c>
      <c r="F34" s="20">
        <v>3296777.08</v>
      </c>
      <c r="G34" s="10"/>
      <c r="H34" s="10"/>
    </row>
    <row r="35" spans="1:13" x14ac:dyDescent="0.35">
      <c r="A35" s="16" t="s">
        <v>17</v>
      </c>
      <c r="B35" s="16" t="s">
        <v>18</v>
      </c>
      <c r="C35" s="17" t="s">
        <v>2</v>
      </c>
      <c r="D35" s="33" t="s">
        <v>2</v>
      </c>
      <c r="E35" s="17" t="s">
        <v>2</v>
      </c>
      <c r="F35" s="18">
        <v>3296777.08</v>
      </c>
      <c r="G35" s="19"/>
      <c r="H35" s="19"/>
      <c r="I35" s="2" t="s">
        <v>2</v>
      </c>
      <c r="K35" s="2" t="s">
        <v>2</v>
      </c>
      <c r="L35" s="8" t="s">
        <v>2</v>
      </c>
      <c r="M35" s="5"/>
    </row>
    <row r="36" spans="1:13" x14ac:dyDescent="0.35">
      <c r="A36" s="10"/>
      <c r="B36" s="10"/>
      <c r="C36" s="10"/>
      <c r="D36" s="10"/>
      <c r="E36" s="10"/>
      <c r="F36" s="21">
        <f>F35-F34</f>
        <v>0</v>
      </c>
      <c r="G36" s="10"/>
      <c r="H36" s="10"/>
    </row>
    <row r="37" spans="1:13" x14ac:dyDescent="0.35">
      <c r="A37" s="10"/>
      <c r="B37" s="10"/>
      <c r="C37" s="10"/>
      <c r="D37" s="10"/>
      <c r="E37" s="10"/>
      <c r="F37" s="10"/>
      <c r="G37" s="10"/>
      <c r="H37" s="10"/>
    </row>
    <row r="38" spans="1:13" x14ac:dyDescent="0.35">
      <c r="A38" s="10" t="s">
        <v>19</v>
      </c>
      <c r="B38" s="10" t="s">
        <v>20</v>
      </c>
      <c r="C38" s="10"/>
      <c r="D38" s="20">
        <v>2351599</v>
      </c>
      <c r="E38" s="20" t="s">
        <v>2</v>
      </c>
      <c r="F38" s="20">
        <v>2751114.2</v>
      </c>
      <c r="G38" s="10"/>
      <c r="H38" s="10"/>
    </row>
    <row r="39" spans="1:13" x14ac:dyDescent="0.35">
      <c r="A39" s="10" t="s">
        <v>19</v>
      </c>
      <c r="B39" s="10" t="s">
        <v>20</v>
      </c>
      <c r="C39" s="10" t="s">
        <v>2</v>
      </c>
      <c r="D39" s="20">
        <v>2351599</v>
      </c>
      <c r="E39" s="20" t="s">
        <v>2</v>
      </c>
      <c r="F39" s="20">
        <v>2751114.2</v>
      </c>
      <c r="G39" s="10"/>
      <c r="H39" s="10"/>
      <c r="I39" s="1" t="s">
        <v>2</v>
      </c>
    </row>
    <row r="40" spans="1:13" x14ac:dyDescent="0.35">
      <c r="A40" s="10"/>
      <c r="B40" s="10"/>
      <c r="C40" s="10"/>
      <c r="D40" s="21">
        <f>D39-D38</f>
        <v>0</v>
      </c>
      <c r="E40" s="10"/>
      <c r="F40" s="21">
        <f>F39-F38</f>
        <v>0</v>
      </c>
      <c r="G40" s="10"/>
      <c r="H40" s="10"/>
    </row>
    <row r="41" spans="1:13" x14ac:dyDescent="0.35">
      <c r="A41" s="10"/>
      <c r="B41" s="10"/>
      <c r="C41" s="10"/>
      <c r="D41" s="10"/>
      <c r="E41" s="10"/>
      <c r="F41" s="10"/>
      <c r="G41" s="10"/>
      <c r="H41" s="10"/>
    </row>
    <row r="42" spans="1:13" x14ac:dyDescent="0.35">
      <c r="A42" s="10" t="s">
        <v>21</v>
      </c>
      <c r="B42" s="10" t="s">
        <v>22</v>
      </c>
      <c r="C42" s="10"/>
      <c r="D42" s="20">
        <v>5651752.0199999996</v>
      </c>
      <c r="E42" s="20" t="s">
        <v>2</v>
      </c>
      <c r="F42" s="20">
        <v>17458348.949999999</v>
      </c>
      <c r="G42" s="10" t="s">
        <v>2</v>
      </c>
      <c r="H42" s="10"/>
    </row>
    <row r="43" spans="1:13" x14ac:dyDescent="0.35">
      <c r="A43" s="10" t="s">
        <v>21</v>
      </c>
      <c r="B43" s="10" t="s">
        <v>22</v>
      </c>
      <c r="C43" s="10" t="s">
        <v>2</v>
      </c>
      <c r="D43" s="20">
        <v>5949697.5999999996</v>
      </c>
      <c r="E43" s="20" t="s">
        <v>2</v>
      </c>
      <c r="F43" s="20">
        <v>17756294.530000001</v>
      </c>
      <c r="G43" s="10"/>
      <c r="H43" s="10"/>
      <c r="I43" s="1" t="s">
        <v>2</v>
      </c>
      <c r="K43" s="1" t="s">
        <v>2</v>
      </c>
      <c r="L43" s="1" t="s">
        <v>2</v>
      </c>
    </row>
    <row r="44" spans="1:13" x14ac:dyDescent="0.35">
      <c r="A44" s="10"/>
      <c r="B44" s="10"/>
      <c r="C44" s="10"/>
      <c r="D44" s="32">
        <f>D43-D42</f>
        <v>297945.58000000007</v>
      </c>
      <c r="E44" s="31"/>
      <c r="F44" s="32">
        <f>F43-F42</f>
        <v>297945.58000000194</v>
      </c>
      <c r="G44" s="10"/>
      <c r="H44" s="10"/>
    </row>
    <row r="45" spans="1:13" x14ac:dyDescent="0.35">
      <c r="A45" s="10"/>
      <c r="B45" s="10"/>
      <c r="C45" s="10"/>
      <c r="D45" s="10"/>
      <c r="E45" s="10"/>
      <c r="F45" s="10"/>
      <c r="G45" s="10"/>
      <c r="H45" s="10"/>
    </row>
    <row r="46" spans="1:13" x14ac:dyDescent="0.35">
      <c r="A46" s="10" t="s">
        <v>23</v>
      </c>
      <c r="B46" s="10" t="s">
        <v>24</v>
      </c>
      <c r="C46" s="10"/>
      <c r="D46" s="10" t="s">
        <v>2</v>
      </c>
      <c r="E46" s="10" t="s">
        <v>2</v>
      </c>
      <c r="F46" s="20">
        <v>6695491.3700000001</v>
      </c>
      <c r="G46" s="10" t="s">
        <v>2</v>
      </c>
      <c r="H46" s="10"/>
    </row>
    <row r="47" spans="1:13" x14ac:dyDescent="0.35">
      <c r="A47" s="10" t="s">
        <v>23</v>
      </c>
      <c r="B47" s="10" t="s">
        <v>24</v>
      </c>
      <c r="C47" s="10" t="s">
        <v>2</v>
      </c>
      <c r="D47" s="10" t="s">
        <v>2</v>
      </c>
      <c r="E47" s="10" t="s">
        <v>2</v>
      </c>
      <c r="F47" s="20">
        <v>6695491.3700000001</v>
      </c>
      <c r="G47" s="10"/>
      <c r="H47" s="10"/>
      <c r="I47" s="1" t="s">
        <v>2</v>
      </c>
      <c r="K47" s="1" t="s">
        <v>2</v>
      </c>
      <c r="L47" s="1" t="s">
        <v>2</v>
      </c>
    </row>
    <row r="48" spans="1:13" x14ac:dyDescent="0.35">
      <c r="A48" s="10"/>
      <c r="B48" s="10"/>
      <c r="C48" s="10"/>
      <c r="D48" s="10"/>
      <c r="E48" s="10"/>
      <c r="F48" s="21">
        <f>F47-F46</f>
        <v>0</v>
      </c>
      <c r="G48" s="10"/>
      <c r="H48" s="10"/>
    </row>
    <row r="49" spans="1:12" x14ac:dyDescent="0.35">
      <c r="A49" s="10"/>
      <c r="B49" s="10"/>
      <c r="C49" s="10"/>
      <c r="D49" s="10"/>
      <c r="E49" s="10"/>
      <c r="F49" s="10"/>
      <c r="G49" s="10"/>
      <c r="H49" s="10"/>
    </row>
    <row r="50" spans="1:12" x14ac:dyDescent="0.35">
      <c r="A50" s="10" t="s">
        <v>25</v>
      </c>
      <c r="B50" s="10" t="s">
        <v>26</v>
      </c>
      <c r="C50" s="10"/>
      <c r="D50" s="10" t="s">
        <v>2</v>
      </c>
      <c r="E50" s="20">
        <v>175249318.47999999</v>
      </c>
      <c r="F50" s="20">
        <v>338113511.75999999</v>
      </c>
      <c r="G50" s="10"/>
      <c r="H50" s="10"/>
    </row>
    <row r="51" spans="1:12" x14ac:dyDescent="0.35">
      <c r="A51" s="10" t="s">
        <v>25</v>
      </c>
      <c r="B51" s="10" t="s">
        <v>26</v>
      </c>
      <c r="C51" s="10" t="s">
        <v>2</v>
      </c>
      <c r="D51" s="10" t="s">
        <v>2</v>
      </c>
      <c r="E51" s="20">
        <v>162517925</v>
      </c>
      <c r="F51" s="20">
        <v>353835467.33999997</v>
      </c>
      <c r="G51" s="10"/>
      <c r="H51" s="10" t="s">
        <v>2</v>
      </c>
      <c r="K51" s="1" t="s">
        <v>2</v>
      </c>
      <c r="L51" s="1" t="s">
        <v>2</v>
      </c>
    </row>
    <row r="52" spans="1:12" x14ac:dyDescent="0.35">
      <c r="A52" s="10"/>
      <c r="B52" s="10"/>
      <c r="C52" s="10"/>
      <c r="D52" s="10"/>
      <c r="E52" s="32">
        <f>E51-E50</f>
        <v>-12731393.479999989</v>
      </c>
      <c r="F52" s="32">
        <f>F51-F50</f>
        <v>15721955.579999983</v>
      </c>
      <c r="G52" s="32">
        <f>F52+E52</f>
        <v>2990562.099999994</v>
      </c>
      <c r="H52" s="32"/>
    </row>
    <row r="53" spans="1:12" x14ac:dyDescent="0.35">
      <c r="A53" s="10"/>
      <c r="B53" s="10"/>
      <c r="C53" s="10"/>
      <c r="D53" s="10"/>
      <c r="E53" s="10"/>
      <c r="F53" s="10"/>
      <c r="G53" s="10"/>
      <c r="H53" s="10"/>
    </row>
    <row r="54" spans="1:12" x14ac:dyDescent="0.35">
      <c r="A54" s="10" t="s">
        <v>27</v>
      </c>
      <c r="B54" s="10" t="s">
        <v>28</v>
      </c>
      <c r="C54" s="10"/>
      <c r="D54" s="10" t="s">
        <v>2</v>
      </c>
      <c r="E54" s="20">
        <v>163620546.46000001</v>
      </c>
      <c r="F54" s="20">
        <v>4037319260.3400002</v>
      </c>
      <c r="G54" s="10"/>
      <c r="H54" s="10"/>
    </row>
    <row r="55" spans="1:12" x14ac:dyDescent="0.35">
      <c r="A55" s="10" t="s">
        <v>27</v>
      </c>
      <c r="B55" s="10" t="s">
        <v>28</v>
      </c>
      <c r="C55" s="10" t="s">
        <v>2</v>
      </c>
      <c r="D55" s="10" t="s">
        <v>2</v>
      </c>
      <c r="E55" s="20">
        <v>150889152.97999999</v>
      </c>
      <c r="F55" s="20">
        <v>4053041215.9200001</v>
      </c>
      <c r="G55" s="10"/>
      <c r="H55" s="10"/>
      <c r="I55" s="1" t="s">
        <v>2</v>
      </c>
      <c r="K55" s="1" t="s">
        <v>2</v>
      </c>
      <c r="L55" s="1" t="s">
        <v>2</v>
      </c>
    </row>
    <row r="56" spans="1:12" x14ac:dyDescent="0.35">
      <c r="A56" s="10"/>
      <c r="B56" s="10"/>
      <c r="C56" s="10"/>
      <c r="D56" s="10"/>
      <c r="E56" s="30">
        <f>E55-E54</f>
        <v>-12731393.480000019</v>
      </c>
      <c r="F56" s="30">
        <f>F55-F54</f>
        <v>15721955.579999924</v>
      </c>
      <c r="G56" s="32">
        <f>F56+E56</f>
        <v>2990562.0999999046</v>
      </c>
      <c r="H56" s="29"/>
    </row>
    <row r="57" spans="1:12" x14ac:dyDescent="0.35">
      <c r="A57" s="10"/>
      <c r="B57" s="10"/>
      <c r="C57" s="10"/>
      <c r="D57" s="10"/>
      <c r="E57" s="10"/>
      <c r="F57" s="10"/>
      <c r="G57" s="10"/>
      <c r="H57" s="10"/>
    </row>
    <row r="58" spans="1:12" x14ac:dyDescent="0.35">
      <c r="A58" s="10"/>
      <c r="B58" s="10"/>
      <c r="C58" s="10"/>
      <c r="D58" s="10"/>
      <c r="E58" s="10"/>
      <c r="F58" s="10"/>
      <c r="G58" s="10"/>
      <c r="H58" s="10"/>
    </row>
    <row r="59" spans="1:12" x14ac:dyDescent="0.35">
      <c r="A59" s="10" t="s">
        <v>29</v>
      </c>
      <c r="B59" s="10" t="s">
        <v>30</v>
      </c>
      <c r="C59" s="10"/>
      <c r="D59" s="10" t="s">
        <v>2</v>
      </c>
      <c r="E59" s="20">
        <v>78233986.200000003</v>
      </c>
      <c r="F59" s="20" t="s">
        <v>2</v>
      </c>
      <c r="G59" s="20">
        <v>791798255.53999996</v>
      </c>
      <c r="H59" s="10"/>
    </row>
    <row r="60" spans="1:12" x14ac:dyDescent="0.35">
      <c r="A60" s="10" t="s">
        <v>29</v>
      </c>
      <c r="B60" s="10" t="s">
        <v>30</v>
      </c>
      <c r="C60" s="10" t="s">
        <v>2</v>
      </c>
      <c r="D60" s="10" t="s">
        <v>2</v>
      </c>
      <c r="E60" s="20">
        <v>68627871.579999998</v>
      </c>
      <c r="F60" s="20"/>
      <c r="G60" s="20">
        <v>782192140.91999996</v>
      </c>
      <c r="H60" s="10"/>
      <c r="I60" s="1" t="s">
        <v>2</v>
      </c>
      <c r="J60" s="1" t="s">
        <v>2</v>
      </c>
      <c r="K60" s="1" t="s">
        <v>2</v>
      </c>
    </row>
    <row r="61" spans="1:12" x14ac:dyDescent="0.35">
      <c r="A61" s="10"/>
      <c r="B61" s="10"/>
      <c r="C61" s="10"/>
      <c r="D61" s="10"/>
      <c r="E61" s="32">
        <f>E60-E59</f>
        <v>-9606114.6200000048</v>
      </c>
      <c r="F61" s="31"/>
      <c r="G61" s="32">
        <f>G60-G59</f>
        <v>-9606114.6200000048</v>
      </c>
      <c r="H61" s="10"/>
    </row>
    <row r="62" spans="1:12" x14ac:dyDescent="0.35">
      <c r="A62" s="10"/>
      <c r="B62" s="10"/>
      <c r="C62" s="10"/>
      <c r="D62" s="10"/>
      <c r="E62" s="10"/>
      <c r="F62" s="10"/>
      <c r="G62" s="10"/>
      <c r="H62" s="10"/>
    </row>
    <row r="63" spans="1:12" x14ac:dyDescent="0.35">
      <c r="A63" s="10" t="s">
        <v>31</v>
      </c>
      <c r="B63" s="10" t="s">
        <v>32</v>
      </c>
      <c r="C63" s="10"/>
      <c r="D63" s="10" t="s">
        <v>2</v>
      </c>
      <c r="E63" s="20">
        <v>141762613.56</v>
      </c>
      <c r="F63" s="20" t="s">
        <v>2</v>
      </c>
      <c r="G63" s="20">
        <v>162575268.46000001</v>
      </c>
      <c r="H63" s="10"/>
    </row>
    <row r="64" spans="1:12" x14ac:dyDescent="0.35">
      <c r="A64" s="10" t="s">
        <v>31</v>
      </c>
      <c r="B64" s="10" t="s">
        <v>32</v>
      </c>
      <c r="C64" s="10" t="s">
        <v>2</v>
      </c>
      <c r="D64" s="10" t="s">
        <v>2</v>
      </c>
      <c r="E64" s="20">
        <v>142058399.74000001</v>
      </c>
      <c r="F64" s="20"/>
      <c r="G64" s="20">
        <v>162871054.63999999</v>
      </c>
      <c r="H64" s="10"/>
      <c r="I64" s="1" t="s">
        <v>2</v>
      </c>
      <c r="J64" s="1" t="s">
        <v>2</v>
      </c>
      <c r="K64" s="1" t="s">
        <v>2</v>
      </c>
    </row>
    <row r="65" spans="1:11" x14ac:dyDescent="0.35">
      <c r="A65" s="10"/>
      <c r="B65" s="10"/>
      <c r="C65" s="10"/>
      <c r="D65" s="10"/>
      <c r="E65" s="32">
        <f>E64-E63</f>
        <v>295786.18000000715</v>
      </c>
      <c r="F65" s="31"/>
      <c r="G65" s="32">
        <f>G64-G63</f>
        <v>295786.17999997735</v>
      </c>
      <c r="H65" s="10"/>
    </row>
    <row r="66" spans="1:11" x14ac:dyDescent="0.35">
      <c r="A66" s="10"/>
      <c r="B66" s="10"/>
      <c r="C66" s="10"/>
      <c r="D66" s="10"/>
      <c r="E66" s="10"/>
      <c r="F66" s="10"/>
      <c r="G66" s="10"/>
      <c r="H66" s="10"/>
    </row>
    <row r="67" spans="1:11" x14ac:dyDescent="0.35">
      <c r="A67" s="10" t="s">
        <v>33</v>
      </c>
      <c r="B67" s="10" t="s">
        <v>34</v>
      </c>
      <c r="C67" s="10"/>
      <c r="D67" s="10"/>
      <c r="E67" s="20">
        <v>4414614.68</v>
      </c>
      <c r="F67" s="20" t="s">
        <v>2</v>
      </c>
      <c r="G67" s="20">
        <v>88342129.219999999</v>
      </c>
      <c r="H67" s="10"/>
    </row>
    <row r="68" spans="1:11" x14ac:dyDescent="0.35">
      <c r="A68" s="10" t="s">
        <v>33</v>
      </c>
      <c r="B68" s="10" t="s">
        <v>34</v>
      </c>
      <c r="C68" s="10" t="s">
        <v>2</v>
      </c>
      <c r="D68" s="10"/>
      <c r="E68" s="20">
        <v>3833348.69</v>
      </c>
      <c r="F68" s="20" t="s">
        <v>2</v>
      </c>
      <c r="G68" s="20">
        <v>88888062.209999993</v>
      </c>
      <c r="H68" s="10"/>
      <c r="I68" s="1" t="s">
        <v>2</v>
      </c>
      <c r="J68" s="1" t="s">
        <v>2</v>
      </c>
      <c r="K68" s="1" t="s">
        <v>2</v>
      </c>
    </row>
    <row r="69" spans="1:11" x14ac:dyDescent="0.35">
      <c r="A69" s="10"/>
      <c r="B69" s="10"/>
      <c r="C69" s="10"/>
      <c r="D69" s="10"/>
      <c r="E69" s="30">
        <f>E68-E67</f>
        <v>-581265.98999999976</v>
      </c>
      <c r="F69" s="30"/>
      <c r="G69" s="30">
        <f>G68-G67</f>
        <v>545932.98999999464</v>
      </c>
      <c r="H69" s="32"/>
      <c r="I69" s="3">
        <f>G69+E69</f>
        <v>-35333.000000005122</v>
      </c>
    </row>
    <row r="70" spans="1:11" x14ac:dyDescent="0.35">
      <c r="A70" s="10"/>
      <c r="B70" s="10"/>
      <c r="C70" s="10"/>
      <c r="D70" s="10"/>
      <c r="E70" s="10"/>
      <c r="F70" s="10"/>
      <c r="G70" s="10"/>
      <c r="H70" s="10"/>
    </row>
    <row r="71" spans="1:11" x14ac:dyDescent="0.35">
      <c r="A71" s="10" t="s">
        <v>35</v>
      </c>
      <c r="B71" s="10" t="s">
        <v>36</v>
      </c>
      <c r="C71" s="10"/>
      <c r="D71" s="10" t="s">
        <v>2</v>
      </c>
      <c r="E71" s="20">
        <v>215581985.08000001</v>
      </c>
      <c r="F71" s="20" t="s">
        <v>2</v>
      </c>
      <c r="G71" s="20">
        <v>1042715653.22</v>
      </c>
      <c r="H71" s="10"/>
    </row>
    <row r="72" spans="1:11" x14ac:dyDescent="0.35">
      <c r="A72" s="10" t="s">
        <v>35</v>
      </c>
      <c r="B72" s="10" t="s">
        <v>36</v>
      </c>
      <c r="C72" s="10" t="s">
        <v>2</v>
      </c>
      <c r="D72" s="10" t="s">
        <v>2</v>
      </c>
      <c r="E72" s="20">
        <v>206852922.63</v>
      </c>
      <c r="F72" s="20"/>
      <c r="G72" s="20">
        <v>1033951257.77</v>
      </c>
      <c r="H72" s="10"/>
      <c r="I72" s="1" t="s">
        <v>2</v>
      </c>
      <c r="J72" s="1" t="s">
        <v>2</v>
      </c>
      <c r="K72" s="1" t="s">
        <v>2</v>
      </c>
    </row>
    <row r="73" spans="1:11" x14ac:dyDescent="0.35">
      <c r="A73" s="10"/>
      <c r="B73" s="10"/>
      <c r="C73" s="10"/>
      <c r="D73" s="10"/>
      <c r="E73" s="32">
        <f>E72-E71</f>
        <v>-8729062.4500000179</v>
      </c>
      <c r="F73" s="31"/>
      <c r="G73" s="32">
        <f>G72-G71</f>
        <v>-8764395.4500000477</v>
      </c>
      <c r="H73" s="32">
        <f>G73-E73</f>
        <v>-35333.000000029802</v>
      </c>
    </row>
    <row r="74" spans="1:11" x14ac:dyDescent="0.35">
      <c r="A74" s="10"/>
      <c r="B74" s="10"/>
      <c r="C74" s="10"/>
      <c r="D74" s="10"/>
      <c r="E74" s="10"/>
      <c r="F74" s="10"/>
      <c r="G74" s="10"/>
      <c r="H74" s="31"/>
    </row>
    <row r="75" spans="1:11" x14ac:dyDescent="0.35">
      <c r="A75" s="10" t="s">
        <v>37</v>
      </c>
      <c r="B75" s="10" t="s">
        <v>38</v>
      </c>
      <c r="C75" s="10"/>
      <c r="D75" s="10" t="s">
        <v>2</v>
      </c>
      <c r="E75" s="10" t="s">
        <v>2</v>
      </c>
      <c r="F75" s="10" t="s">
        <v>2</v>
      </c>
      <c r="G75" s="20">
        <v>2388685290.54</v>
      </c>
      <c r="H75" s="31"/>
    </row>
    <row r="76" spans="1:11" x14ac:dyDescent="0.35">
      <c r="A76" s="10" t="s">
        <v>37</v>
      </c>
      <c r="B76" s="10" t="s">
        <v>38</v>
      </c>
      <c r="C76" s="10" t="s">
        <v>2</v>
      </c>
      <c r="D76" s="10" t="s">
        <v>2</v>
      </c>
      <c r="E76" s="10" t="s">
        <v>2</v>
      </c>
      <c r="F76" s="10" t="s">
        <v>2</v>
      </c>
      <c r="G76" s="20">
        <v>2388685290.54</v>
      </c>
      <c r="H76" s="31"/>
      <c r="I76" s="1" t="s">
        <v>2</v>
      </c>
      <c r="J76" s="1" t="s">
        <v>2</v>
      </c>
      <c r="K76" s="1" t="s">
        <v>2</v>
      </c>
    </row>
    <row r="77" spans="1:11" x14ac:dyDescent="0.35">
      <c r="A77" s="10"/>
      <c r="B77" s="10"/>
      <c r="C77" s="10"/>
      <c r="D77" s="10"/>
      <c r="E77" s="10"/>
      <c r="F77" s="10"/>
      <c r="G77" s="21">
        <f>G76-G75</f>
        <v>0</v>
      </c>
      <c r="H77" s="31"/>
    </row>
    <row r="78" spans="1:11" x14ac:dyDescent="0.35">
      <c r="A78" s="10"/>
      <c r="B78" s="10"/>
      <c r="C78" s="10"/>
      <c r="D78" s="10"/>
      <c r="E78" s="10"/>
      <c r="F78" s="10"/>
      <c r="G78" s="10"/>
      <c r="H78" s="31"/>
    </row>
    <row r="79" spans="1:11" x14ac:dyDescent="0.35">
      <c r="A79" s="10" t="s">
        <v>39</v>
      </c>
      <c r="B79" s="10" t="s">
        <v>40</v>
      </c>
      <c r="C79" s="10"/>
      <c r="D79" s="10" t="s">
        <v>2</v>
      </c>
      <c r="E79" s="20">
        <v>215581985.08000001</v>
      </c>
      <c r="F79" s="20" t="s">
        <v>2</v>
      </c>
      <c r="G79" s="20">
        <v>3431400943.7600002</v>
      </c>
      <c r="H79" s="31"/>
    </row>
    <row r="80" spans="1:11" x14ac:dyDescent="0.35">
      <c r="A80" s="10" t="s">
        <v>39</v>
      </c>
      <c r="B80" s="10" t="s">
        <v>40</v>
      </c>
      <c r="C80" s="10" t="s">
        <v>2</v>
      </c>
      <c r="D80" s="10" t="s">
        <v>2</v>
      </c>
      <c r="E80" s="20">
        <v>206852922.63</v>
      </c>
      <c r="F80" s="20"/>
      <c r="G80" s="20">
        <v>3422636548.3099999</v>
      </c>
      <c r="H80" s="31"/>
      <c r="I80" s="1" t="s">
        <v>2</v>
      </c>
      <c r="J80" s="1" t="s">
        <v>2</v>
      </c>
      <c r="K80" s="1" t="s">
        <v>2</v>
      </c>
    </row>
    <row r="81" spans="1:11" x14ac:dyDescent="0.35">
      <c r="A81" s="10"/>
      <c r="B81" s="10"/>
      <c r="C81" s="10"/>
      <c r="D81" s="10"/>
      <c r="E81" s="32">
        <f>E80-E79</f>
        <v>-8729062.4500000179</v>
      </c>
      <c r="F81" s="31"/>
      <c r="G81" s="32">
        <f>G80-G79</f>
        <v>-8764395.4500002861</v>
      </c>
      <c r="H81" s="32">
        <f>G81-E81</f>
        <v>-35333.000000268221</v>
      </c>
    </row>
    <row r="82" spans="1:11" x14ac:dyDescent="0.35">
      <c r="A82" s="10"/>
      <c r="B82" s="10"/>
      <c r="C82" s="10"/>
      <c r="D82" s="10"/>
      <c r="E82" s="10"/>
      <c r="F82" s="10"/>
      <c r="G82" s="10"/>
      <c r="H82" s="31"/>
    </row>
    <row r="83" spans="1:11" x14ac:dyDescent="0.35">
      <c r="A83" s="10" t="s">
        <v>41</v>
      </c>
      <c r="B83" s="10" t="s">
        <v>42</v>
      </c>
      <c r="C83" s="10"/>
      <c r="D83" s="10" t="s">
        <v>2</v>
      </c>
      <c r="E83" s="20">
        <v>5193320</v>
      </c>
      <c r="F83" s="20" t="s">
        <v>2</v>
      </c>
      <c r="G83" s="20">
        <v>421356374.68000001</v>
      </c>
      <c r="H83" s="31"/>
    </row>
    <row r="84" spans="1:11" x14ac:dyDescent="0.35">
      <c r="A84" s="10" t="s">
        <v>41</v>
      </c>
      <c r="B84" s="10" t="s">
        <v>42</v>
      </c>
      <c r="C84" s="10" t="s">
        <v>2</v>
      </c>
      <c r="D84" s="10" t="s">
        <v>2</v>
      </c>
      <c r="E84" s="20">
        <v>7223818.5</v>
      </c>
      <c r="F84" s="20"/>
      <c r="G84" s="20">
        <v>423386873.18000001</v>
      </c>
      <c r="H84" s="31"/>
      <c r="I84" s="1" t="s">
        <v>2</v>
      </c>
      <c r="J84" s="1" t="s">
        <v>2</v>
      </c>
      <c r="K84" s="1" t="s">
        <v>2</v>
      </c>
    </row>
    <row r="85" spans="1:11" x14ac:dyDescent="0.35">
      <c r="A85" s="10"/>
      <c r="B85" s="10"/>
      <c r="C85" s="10"/>
      <c r="D85" s="10"/>
      <c r="E85" s="32">
        <f>E84-E83</f>
        <v>2030498.5</v>
      </c>
      <c r="F85" s="31"/>
      <c r="G85" s="32">
        <f>G84-G83</f>
        <v>2030498.5</v>
      </c>
      <c r="H85" s="31"/>
    </row>
    <row r="86" spans="1:11" x14ac:dyDescent="0.35">
      <c r="A86" s="10"/>
      <c r="B86" s="10"/>
      <c r="C86" s="10"/>
      <c r="D86" s="10"/>
      <c r="E86" s="10"/>
      <c r="F86" s="10"/>
      <c r="G86" s="10"/>
      <c r="H86" s="31"/>
    </row>
    <row r="87" spans="1:11" x14ac:dyDescent="0.35">
      <c r="A87" s="10" t="s">
        <v>43</v>
      </c>
      <c r="B87" s="10" t="s">
        <v>44</v>
      </c>
      <c r="C87" s="10"/>
      <c r="D87" s="10" t="s">
        <v>2</v>
      </c>
      <c r="E87" s="10" t="s">
        <v>2</v>
      </c>
      <c r="F87" s="10" t="s">
        <v>2</v>
      </c>
      <c r="G87" s="20">
        <v>27672.99</v>
      </c>
      <c r="H87" s="31"/>
    </row>
    <row r="88" spans="1:11" x14ac:dyDescent="0.35">
      <c r="A88" s="10" t="s">
        <v>43</v>
      </c>
      <c r="B88" s="10" t="s">
        <v>44</v>
      </c>
      <c r="C88" s="10" t="s">
        <v>2</v>
      </c>
      <c r="D88" s="10" t="s">
        <v>2</v>
      </c>
      <c r="E88" s="10" t="s">
        <v>2</v>
      </c>
      <c r="F88" s="10" t="s">
        <v>2</v>
      </c>
      <c r="G88" s="20">
        <v>27672.99</v>
      </c>
      <c r="H88" s="31"/>
      <c r="I88" s="1" t="s">
        <v>2</v>
      </c>
      <c r="J88" s="1" t="s">
        <v>2</v>
      </c>
      <c r="K88" s="1" t="s">
        <v>2</v>
      </c>
    </row>
    <row r="89" spans="1:11" x14ac:dyDescent="0.35">
      <c r="A89" s="10"/>
      <c r="B89" s="10"/>
      <c r="C89" s="10"/>
      <c r="D89" s="10"/>
      <c r="E89" s="10"/>
      <c r="F89" s="10"/>
      <c r="G89" s="21">
        <f>G88-G87</f>
        <v>0</v>
      </c>
      <c r="H89" s="31"/>
    </row>
    <row r="90" spans="1:11" x14ac:dyDescent="0.35">
      <c r="A90" s="10"/>
      <c r="B90" s="10"/>
      <c r="C90" s="10"/>
      <c r="D90" s="10"/>
      <c r="E90" s="10"/>
      <c r="F90" s="10"/>
      <c r="G90" s="10"/>
      <c r="H90" s="31"/>
    </row>
    <row r="91" spans="1:11" x14ac:dyDescent="0.35">
      <c r="A91" s="10" t="s">
        <v>45</v>
      </c>
      <c r="B91" s="10" t="s">
        <v>46</v>
      </c>
      <c r="C91" s="10"/>
      <c r="D91" s="10" t="s">
        <v>2</v>
      </c>
      <c r="E91" s="20">
        <v>840222933.83000004</v>
      </c>
      <c r="F91" s="20" t="s">
        <v>2</v>
      </c>
      <c r="G91" s="20">
        <v>11536622003.780001</v>
      </c>
      <c r="H91" s="31"/>
    </row>
    <row r="92" spans="1:11" x14ac:dyDescent="0.35">
      <c r="A92" s="10" t="s">
        <v>45</v>
      </c>
      <c r="B92" s="10" t="s">
        <v>46</v>
      </c>
      <c r="C92" s="10" t="s">
        <v>2</v>
      </c>
      <c r="D92" s="10" t="s">
        <v>2</v>
      </c>
      <c r="E92" s="20">
        <v>850420565.61000001</v>
      </c>
      <c r="F92" s="20"/>
      <c r="G92" s="20">
        <v>11546819635.559999</v>
      </c>
      <c r="H92" s="31"/>
      <c r="I92" s="1" t="s">
        <v>2</v>
      </c>
      <c r="J92" s="1" t="s">
        <v>2</v>
      </c>
      <c r="K92" s="1" t="s">
        <v>2</v>
      </c>
    </row>
    <row r="93" spans="1:11" x14ac:dyDescent="0.35">
      <c r="A93" s="10"/>
      <c r="B93" s="10"/>
      <c r="C93" s="10"/>
      <c r="D93" s="10"/>
      <c r="E93" s="32">
        <f>E92-E91</f>
        <v>10197631.779999971</v>
      </c>
      <c r="F93" s="31"/>
      <c r="G93" s="32">
        <f>G92-G91</f>
        <v>10197631.779998779</v>
      </c>
      <c r="H93" s="31"/>
    </row>
    <row r="94" spans="1:11" x14ac:dyDescent="0.35">
      <c r="A94" s="10"/>
      <c r="B94" s="10"/>
      <c r="C94" s="10"/>
      <c r="D94" s="10"/>
      <c r="E94" s="10"/>
      <c r="F94" s="10"/>
      <c r="G94" s="10"/>
      <c r="H94" s="31"/>
    </row>
    <row r="95" spans="1:11" x14ac:dyDescent="0.35">
      <c r="A95" s="10" t="s">
        <v>47</v>
      </c>
      <c r="B95" s="10" t="s">
        <v>48</v>
      </c>
      <c r="C95" s="10"/>
      <c r="D95" s="10" t="s">
        <v>2</v>
      </c>
      <c r="E95" s="20">
        <v>2825815576.9699998</v>
      </c>
      <c r="F95" s="20" t="s">
        <v>2</v>
      </c>
      <c r="G95" s="20">
        <v>45715661688.32</v>
      </c>
      <c r="H95" s="31"/>
    </row>
    <row r="96" spans="1:11" x14ac:dyDescent="0.35">
      <c r="A96" s="10" t="s">
        <v>47</v>
      </c>
      <c r="B96" s="10" t="s">
        <v>48</v>
      </c>
      <c r="C96" s="10" t="s">
        <v>2</v>
      </c>
      <c r="D96" s="10" t="s">
        <v>2</v>
      </c>
      <c r="E96" s="20">
        <v>2843232222.3699999</v>
      </c>
      <c r="F96" s="20"/>
      <c r="G96" s="20">
        <v>45733855833.720001</v>
      </c>
      <c r="H96" s="31"/>
      <c r="I96" s="1" t="s">
        <v>2</v>
      </c>
      <c r="J96" s="1" t="s">
        <v>2</v>
      </c>
      <c r="K96" s="1" t="s">
        <v>2</v>
      </c>
    </row>
    <row r="97" spans="1:12" x14ac:dyDescent="0.35">
      <c r="A97" s="10"/>
      <c r="B97" s="10"/>
      <c r="C97" s="10"/>
      <c r="D97" s="10"/>
      <c r="E97" s="32">
        <f>E96-E95</f>
        <v>17416645.400000095</v>
      </c>
      <c r="F97" s="31"/>
      <c r="G97" s="32">
        <f>G96-G95</f>
        <v>18194145.400001526</v>
      </c>
      <c r="H97" s="32">
        <f>G97-E97</f>
        <v>777500.00000143051</v>
      </c>
    </row>
    <row r="98" spans="1:12" x14ac:dyDescent="0.35">
      <c r="A98" s="10"/>
      <c r="B98" s="10"/>
      <c r="C98" s="10"/>
      <c r="D98" s="10"/>
      <c r="E98" s="10"/>
      <c r="F98" s="10"/>
      <c r="G98" s="10"/>
      <c r="H98" s="31"/>
    </row>
    <row r="99" spans="1:12" x14ac:dyDescent="0.35">
      <c r="A99" s="10" t="s">
        <v>49</v>
      </c>
      <c r="B99" s="10" t="s">
        <v>50</v>
      </c>
      <c r="C99" s="10"/>
      <c r="D99" s="10" t="s">
        <v>2</v>
      </c>
      <c r="E99" s="10" t="s">
        <v>2</v>
      </c>
      <c r="F99" s="10" t="s">
        <v>2</v>
      </c>
      <c r="G99" s="20">
        <v>24906313.629999999</v>
      </c>
      <c r="H99" s="31"/>
    </row>
    <row r="100" spans="1:12" x14ac:dyDescent="0.35">
      <c r="A100" s="10" t="s">
        <v>49</v>
      </c>
      <c r="B100" s="10" t="s">
        <v>50</v>
      </c>
      <c r="C100" s="10" t="s">
        <v>2</v>
      </c>
      <c r="D100" s="10" t="s">
        <v>2</v>
      </c>
      <c r="E100" s="10" t="s">
        <v>2</v>
      </c>
      <c r="F100" s="10" t="s">
        <v>2</v>
      </c>
      <c r="G100" s="20">
        <v>24906313.629999999</v>
      </c>
      <c r="H100" s="31"/>
      <c r="I100" s="1" t="s">
        <v>2</v>
      </c>
      <c r="J100" s="1" t="s">
        <v>2</v>
      </c>
      <c r="K100" s="1" t="s">
        <v>2</v>
      </c>
    </row>
    <row r="101" spans="1:12" x14ac:dyDescent="0.35">
      <c r="A101" s="10"/>
      <c r="B101" s="10"/>
      <c r="C101" s="10"/>
      <c r="D101" s="10"/>
      <c r="E101" s="10"/>
      <c r="F101" s="10"/>
      <c r="G101" s="21">
        <f>G100-G99</f>
        <v>0</v>
      </c>
      <c r="H101" s="31"/>
    </row>
    <row r="102" spans="1:12" x14ac:dyDescent="0.35">
      <c r="A102" s="10"/>
      <c r="B102" s="10"/>
      <c r="C102" s="10"/>
      <c r="D102" s="10"/>
      <c r="E102" s="10"/>
      <c r="F102" s="10"/>
      <c r="G102" s="10"/>
      <c r="H102" s="31"/>
    </row>
    <row r="103" spans="1:12" x14ac:dyDescent="0.35">
      <c r="A103" s="10" t="s">
        <v>51</v>
      </c>
      <c r="B103" s="10" t="s">
        <v>52</v>
      </c>
      <c r="C103" s="10"/>
      <c r="D103" s="10" t="s">
        <v>2</v>
      </c>
      <c r="E103" s="20">
        <v>3671231830.8000002</v>
      </c>
      <c r="F103" s="20" t="s">
        <v>2</v>
      </c>
      <c r="G103" s="20">
        <v>57698574053.400002</v>
      </c>
      <c r="H103" s="31"/>
    </row>
    <row r="104" spans="1:12" x14ac:dyDescent="0.35">
      <c r="A104" s="10" t="s">
        <v>51</v>
      </c>
      <c r="B104" s="10" t="s">
        <v>52</v>
      </c>
      <c r="C104" s="10" t="s">
        <v>2</v>
      </c>
      <c r="D104" s="10" t="s">
        <v>2</v>
      </c>
      <c r="E104" s="20">
        <v>3700876606.48</v>
      </c>
      <c r="F104" s="20"/>
      <c r="G104" s="20">
        <v>57728996329.080002</v>
      </c>
      <c r="H104" s="31"/>
      <c r="I104" s="1" t="s">
        <v>2</v>
      </c>
      <c r="J104" s="1" t="s">
        <v>2</v>
      </c>
      <c r="K104" s="1" t="s">
        <v>2</v>
      </c>
    </row>
    <row r="105" spans="1:12" x14ac:dyDescent="0.35">
      <c r="A105" s="10"/>
      <c r="B105" s="10"/>
      <c r="C105" s="10"/>
      <c r="D105" s="10"/>
      <c r="E105" s="32">
        <f>E104-E103</f>
        <v>29644775.679999828</v>
      </c>
      <c r="F105" s="31"/>
      <c r="G105" s="32">
        <f>G104-G103</f>
        <v>30422275.680000305</v>
      </c>
      <c r="H105" s="32">
        <f>G105-E105</f>
        <v>777500.00000047684</v>
      </c>
    </row>
    <row r="106" spans="1:12" x14ac:dyDescent="0.35">
      <c r="A106" s="10"/>
      <c r="B106" s="10"/>
      <c r="C106" s="10"/>
      <c r="D106" s="10"/>
      <c r="E106" s="10"/>
      <c r="F106" s="10"/>
      <c r="G106" s="10"/>
      <c r="H106" s="10"/>
    </row>
    <row r="107" spans="1:12" x14ac:dyDescent="0.35">
      <c r="A107" s="10" t="s">
        <v>53</v>
      </c>
      <c r="B107" s="10" t="s">
        <v>54</v>
      </c>
      <c r="C107" s="10"/>
      <c r="D107" s="20">
        <v>416825</v>
      </c>
      <c r="E107" s="20" t="s">
        <v>2</v>
      </c>
      <c r="F107" s="20">
        <v>321075464.43000001</v>
      </c>
      <c r="G107" s="10" t="s">
        <v>2</v>
      </c>
      <c r="H107" s="10"/>
    </row>
    <row r="108" spans="1:12" x14ac:dyDescent="0.35">
      <c r="A108" s="10" t="s">
        <v>53</v>
      </c>
      <c r="B108" s="10" t="s">
        <v>54</v>
      </c>
      <c r="C108" s="10" t="s">
        <v>2</v>
      </c>
      <c r="D108" s="20">
        <v>416825</v>
      </c>
      <c r="E108" s="20" t="s">
        <v>2</v>
      </c>
      <c r="F108" s="20">
        <v>321075464.43000001</v>
      </c>
      <c r="G108" s="10"/>
      <c r="H108" s="10"/>
      <c r="I108" s="1" t="s">
        <v>2</v>
      </c>
      <c r="K108" s="1" t="s">
        <v>2</v>
      </c>
      <c r="L108" s="1" t="s">
        <v>2</v>
      </c>
    </row>
    <row r="109" spans="1:12" x14ac:dyDescent="0.35">
      <c r="A109" s="10"/>
      <c r="B109" s="10"/>
      <c r="C109" s="10"/>
      <c r="D109" s="21">
        <f>D108-D107</f>
        <v>0</v>
      </c>
      <c r="E109" s="10"/>
      <c r="F109" s="21">
        <f>F108-F107</f>
        <v>0</v>
      </c>
      <c r="G109" s="10"/>
      <c r="H109" s="10"/>
    </row>
    <row r="110" spans="1:12" x14ac:dyDescent="0.35">
      <c r="A110" s="10"/>
      <c r="B110" s="10"/>
      <c r="C110" s="10"/>
      <c r="D110" s="10"/>
      <c r="E110" s="10"/>
      <c r="F110" s="10"/>
      <c r="G110" s="10"/>
      <c r="H110" s="10"/>
    </row>
    <row r="111" spans="1:12" x14ac:dyDescent="0.35">
      <c r="A111" s="10" t="s">
        <v>55</v>
      </c>
      <c r="B111" s="10" t="s">
        <v>56</v>
      </c>
      <c r="C111" s="10"/>
      <c r="D111" s="20">
        <v>267619567.36000001</v>
      </c>
      <c r="E111" s="20" t="s">
        <v>2</v>
      </c>
      <c r="F111" s="20">
        <v>1337143610.1099999</v>
      </c>
      <c r="G111" s="10" t="s">
        <v>2</v>
      </c>
      <c r="H111" s="10"/>
    </row>
    <row r="112" spans="1:12" x14ac:dyDescent="0.35">
      <c r="A112" s="10" t="s">
        <v>55</v>
      </c>
      <c r="B112" s="10" t="s">
        <v>56</v>
      </c>
      <c r="C112" s="10" t="s">
        <v>2</v>
      </c>
      <c r="D112" s="20">
        <v>260407218.36000001</v>
      </c>
      <c r="E112" s="20" t="s">
        <v>2</v>
      </c>
      <c r="F112" s="20">
        <v>1329931261.1099999</v>
      </c>
      <c r="G112" s="10"/>
      <c r="H112" s="10"/>
      <c r="I112" s="1" t="s">
        <v>2</v>
      </c>
      <c r="K112" s="1" t="s">
        <v>2</v>
      </c>
      <c r="L112" s="1" t="s">
        <v>2</v>
      </c>
    </row>
    <row r="113" spans="1:12" x14ac:dyDescent="0.35">
      <c r="A113" s="10"/>
      <c r="B113" s="10"/>
      <c r="C113" s="10"/>
      <c r="D113" s="32">
        <f>D112-D111</f>
        <v>-7212349</v>
      </c>
      <c r="E113" s="31"/>
      <c r="F113" s="32">
        <f>F112-F111</f>
        <v>-7212349</v>
      </c>
      <c r="G113" s="10"/>
      <c r="H113" s="10"/>
    </row>
    <row r="114" spans="1:12" x14ac:dyDescent="0.35">
      <c r="A114" s="10"/>
      <c r="B114" s="10"/>
      <c r="C114" s="10"/>
      <c r="D114" s="10"/>
      <c r="E114" s="10"/>
      <c r="F114" s="10"/>
      <c r="G114" s="10"/>
      <c r="H114" s="10"/>
    </row>
    <row r="115" spans="1:12" x14ac:dyDescent="0.35">
      <c r="A115" s="10" t="s">
        <v>57</v>
      </c>
      <c r="B115" s="10" t="s">
        <v>58</v>
      </c>
      <c r="C115" s="10"/>
      <c r="D115" s="20">
        <v>25998167.510000002</v>
      </c>
      <c r="E115" s="20" t="s">
        <v>2</v>
      </c>
      <c r="F115" s="20">
        <v>526771859.85000002</v>
      </c>
      <c r="G115" s="10"/>
      <c r="H115" s="10"/>
    </row>
    <row r="116" spans="1:12" x14ac:dyDescent="0.35">
      <c r="A116" s="10" t="s">
        <v>57</v>
      </c>
      <c r="B116" s="10" t="s">
        <v>58</v>
      </c>
      <c r="C116" s="10" t="s">
        <v>2</v>
      </c>
      <c r="D116" s="20">
        <v>26003167.510000002</v>
      </c>
      <c r="E116" s="20" t="s">
        <v>2</v>
      </c>
      <c r="F116" s="20">
        <v>526776859.85000002</v>
      </c>
      <c r="G116" s="10"/>
      <c r="H116" s="10"/>
      <c r="I116" s="1" t="s">
        <v>2</v>
      </c>
      <c r="K116" s="1" t="s">
        <v>2</v>
      </c>
      <c r="L116" s="1" t="s">
        <v>2</v>
      </c>
    </row>
    <row r="117" spans="1:12" x14ac:dyDescent="0.35">
      <c r="A117" s="10"/>
      <c r="B117" s="10"/>
      <c r="C117" s="10"/>
      <c r="D117" s="32">
        <f>D116-D115</f>
        <v>5000</v>
      </c>
      <c r="E117" s="31"/>
      <c r="F117" s="32">
        <f>F116-F115</f>
        <v>5000</v>
      </c>
      <c r="G117" s="10"/>
      <c r="H117" s="10"/>
    </row>
    <row r="118" spans="1:12" x14ac:dyDescent="0.35">
      <c r="A118" s="10"/>
      <c r="B118" s="10"/>
      <c r="C118" s="10"/>
      <c r="D118" s="10"/>
      <c r="E118" s="10"/>
      <c r="F118" s="10"/>
      <c r="G118" s="10"/>
      <c r="H118" s="10"/>
    </row>
    <row r="119" spans="1:12" x14ac:dyDescent="0.35">
      <c r="A119" s="10" t="s">
        <v>59</v>
      </c>
      <c r="B119" s="10" t="s">
        <v>60</v>
      </c>
      <c r="C119" s="10"/>
      <c r="D119" s="20">
        <v>92904434.040000007</v>
      </c>
      <c r="E119" s="20" t="s">
        <v>2</v>
      </c>
      <c r="F119" s="20">
        <v>997089047.20000005</v>
      </c>
      <c r="G119" s="10"/>
      <c r="H119" s="10"/>
    </row>
    <row r="120" spans="1:12" x14ac:dyDescent="0.35">
      <c r="A120" s="10" t="s">
        <v>59</v>
      </c>
      <c r="B120" s="10" t="s">
        <v>60</v>
      </c>
      <c r="C120" s="10" t="s">
        <v>2</v>
      </c>
      <c r="D120" s="20">
        <v>92714741.040000007</v>
      </c>
      <c r="E120" s="20" t="s">
        <v>2</v>
      </c>
      <c r="F120" s="20">
        <v>996899354.20000005</v>
      </c>
      <c r="G120" s="10"/>
      <c r="H120" s="10"/>
      <c r="I120" s="1" t="s">
        <v>2</v>
      </c>
      <c r="K120" s="1" t="s">
        <v>2</v>
      </c>
      <c r="L120" s="1" t="s">
        <v>2</v>
      </c>
    </row>
    <row r="121" spans="1:12" x14ac:dyDescent="0.35">
      <c r="A121" s="10"/>
      <c r="B121" s="10"/>
      <c r="C121" s="10"/>
      <c r="D121" s="32">
        <f>D120-D119</f>
        <v>-189693</v>
      </c>
      <c r="E121" s="31"/>
      <c r="F121" s="32">
        <f>F120-F119</f>
        <v>-189693</v>
      </c>
      <c r="G121" s="10"/>
      <c r="H121" s="10"/>
    </row>
    <row r="122" spans="1:12" x14ac:dyDescent="0.35">
      <c r="A122" s="10"/>
      <c r="B122" s="10"/>
      <c r="C122" s="10"/>
      <c r="D122" s="10"/>
      <c r="E122" s="10"/>
      <c r="F122" s="10"/>
      <c r="G122" s="10"/>
      <c r="H122" s="10"/>
    </row>
    <row r="123" spans="1:12" x14ac:dyDescent="0.35">
      <c r="A123" s="10" t="s">
        <v>61</v>
      </c>
      <c r="B123" s="10" t="s">
        <v>62</v>
      </c>
      <c r="C123" s="10"/>
      <c r="D123" s="20">
        <v>14662987.390000001</v>
      </c>
      <c r="E123" s="20" t="s">
        <v>2</v>
      </c>
      <c r="F123" s="20">
        <v>416819217.04000002</v>
      </c>
      <c r="G123" s="10" t="s">
        <v>2</v>
      </c>
      <c r="H123" s="10"/>
    </row>
    <row r="124" spans="1:12" x14ac:dyDescent="0.35">
      <c r="A124" s="10" t="s">
        <v>61</v>
      </c>
      <c r="B124" s="10" t="s">
        <v>62</v>
      </c>
      <c r="C124" s="10" t="s">
        <v>2</v>
      </c>
      <c r="D124" s="20">
        <v>14662987.390000001</v>
      </c>
      <c r="E124" s="20" t="s">
        <v>2</v>
      </c>
      <c r="F124" s="20">
        <v>416819217.04000002</v>
      </c>
      <c r="G124" s="10"/>
      <c r="H124" s="10"/>
      <c r="I124" s="1" t="s">
        <v>2</v>
      </c>
      <c r="K124" s="1" t="s">
        <v>2</v>
      </c>
      <c r="L124" s="1" t="s">
        <v>2</v>
      </c>
    </row>
    <row r="125" spans="1:12" x14ac:dyDescent="0.35">
      <c r="A125" s="10"/>
      <c r="B125" s="10"/>
      <c r="C125" s="10"/>
      <c r="D125" s="21">
        <f>D124-D123</f>
        <v>0</v>
      </c>
      <c r="E125" s="10"/>
      <c r="F125" s="21">
        <f>F124-F123</f>
        <v>0</v>
      </c>
      <c r="G125" s="10"/>
      <c r="H125" s="10"/>
    </row>
    <row r="126" spans="1:12" x14ac:dyDescent="0.35">
      <c r="A126" s="10"/>
      <c r="B126" s="10"/>
      <c r="C126" s="10"/>
      <c r="D126" s="10"/>
      <c r="E126" s="10"/>
      <c r="F126" s="10"/>
      <c r="G126" s="10"/>
      <c r="H126" s="10"/>
    </row>
    <row r="127" spans="1:12" x14ac:dyDescent="0.35">
      <c r="A127" s="10" t="s">
        <v>63</v>
      </c>
      <c r="B127" s="10" t="s">
        <v>64</v>
      </c>
      <c r="C127" s="10"/>
      <c r="D127" s="20">
        <v>371275282.05000001</v>
      </c>
      <c r="E127" s="20" t="s">
        <v>2</v>
      </c>
      <c r="F127" s="20">
        <v>3977621038.3800001</v>
      </c>
      <c r="G127" s="10" t="s">
        <v>2</v>
      </c>
      <c r="H127" s="10"/>
    </row>
    <row r="128" spans="1:12" x14ac:dyDescent="0.35">
      <c r="A128" s="10" t="s">
        <v>63</v>
      </c>
      <c r="B128" s="10" t="s">
        <v>64</v>
      </c>
      <c r="C128" s="10" t="s">
        <v>2</v>
      </c>
      <c r="D128" s="20">
        <v>368736750.75999999</v>
      </c>
      <c r="E128" s="20" t="s">
        <v>2</v>
      </c>
      <c r="F128" s="20">
        <v>3975082507.0900002</v>
      </c>
      <c r="G128" s="10"/>
      <c r="H128" s="10"/>
      <c r="I128" s="1" t="s">
        <v>2</v>
      </c>
      <c r="K128" s="1" t="s">
        <v>2</v>
      </c>
      <c r="L128" s="1" t="s">
        <v>2</v>
      </c>
    </row>
    <row r="129" spans="1:12" x14ac:dyDescent="0.35">
      <c r="A129" s="10"/>
      <c r="B129" s="10"/>
      <c r="C129" s="10"/>
      <c r="D129" s="29">
        <f>D128-D127</f>
        <v>-2538531.2900000215</v>
      </c>
      <c r="E129" s="27"/>
      <c r="F129" s="29">
        <f>F128-F127</f>
        <v>-2538531.2899999619</v>
      </c>
      <c r="G129" s="10"/>
      <c r="H129" s="10"/>
    </row>
    <row r="130" spans="1:12" x14ac:dyDescent="0.35">
      <c r="A130" s="10"/>
      <c r="B130" s="10"/>
      <c r="C130" s="10"/>
      <c r="D130" s="10"/>
      <c r="E130" s="10"/>
      <c r="F130" s="10"/>
      <c r="G130" s="10"/>
      <c r="H130" s="10"/>
    </row>
    <row r="131" spans="1:12" x14ac:dyDescent="0.35">
      <c r="A131" s="10" t="s">
        <v>65</v>
      </c>
      <c r="B131" s="10" t="s">
        <v>66</v>
      </c>
      <c r="C131" s="10"/>
      <c r="D131" s="20">
        <v>52490060.759999998</v>
      </c>
      <c r="E131" s="20" t="s">
        <v>2</v>
      </c>
      <c r="F131" s="20">
        <v>1548145808.8699999</v>
      </c>
      <c r="G131" s="10" t="s">
        <v>2</v>
      </c>
      <c r="H131" s="10"/>
    </row>
    <row r="132" spans="1:12" x14ac:dyDescent="0.35">
      <c r="A132" s="10" t="s">
        <v>65</v>
      </c>
      <c r="B132" s="10" t="s">
        <v>66</v>
      </c>
      <c r="C132" s="10" t="s">
        <v>2</v>
      </c>
      <c r="D132" s="20">
        <v>50699221.259999998</v>
      </c>
      <c r="E132" s="20" t="s">
        <v>2</v>
      </c>
      <c r="F132" s="20">
        <v>1546354969.3699999</v>
      </c>
      <c r="G132" s="10"/>
      <c r="H132" s="10"/>
      <c r="I132" s="1" t="s">
        <v>2</v>
      </c>
      <c r="K132" s="1" t="s">
        <v>2</v>
      </c>
      <c r="L132" s="1" t="s">
        <v>2</v>
      </c>
    </row>
    <row r="133" spans="1:12" x14ac:dyDescent="0.35">
      <c r="A133" s="10"/>
      <c r="B133" s="10"/>
      <c r="C133" s="10"/>
      <c r="D133" s="30">
        <f>D132-D131</f>
        <v>-1790839.5</v>
      </c>
      <c r="E133" s="30"/>
      <c r="F133" s="30">
        <f>F132-F131</f>
        <v>-1790839.5</v>
      </c>
      <c r="G133" s="10"/>
      <c r="H133" s="10"/>
    </row>
    <row r="134" spans="1:12" x14ac:dyDescent="0.35">
      <c r="A134" s="10"/>
      <c r="B134" s="10"/>
      <c r="C134" s="10"/>
      <c r="D134" s="10"/>
      <c r="E134" s="10"/>
      <c r="F134" s="10"/>
      <c r="G134" s="10"/>
      <c r="H134" s="10"/>
    </row>
    <row r="135" spans="1:12" x14ac:dyDescent="0.35">
      <c r="A135" s="10" t="s">
        <v>67</v>
      </c>
      <c r="B135" s="10" t="s">
        <v>68</v>
      </c>
      <c r="C135" s="10"/>
      <c r="D135" s="20">
        <v>1709500</v>
      </c>
      <c r="E135" s="20" t="s">
        <v>2</v>
      </c>
      <c r="F135" s="20">
        <v>30279874.02</v>
      </c>
      <c r="G135" s="10" t="s">
        <v>2</v>
      </c>
      <c r="H135" s="10"/>
    </row>
    <row r="136" spans="1:12" x14ac:dyDescent="0.35">
      <c r="A136" s="10" t="s">
        <v>67</v>
      </c>
      <c r="B136" s="10" t="s">
        <v>68</v>
      </c>
      <c r="C136" s="10" t="s">
        <v>2</v>
      </c>
      <c r="D136" s="20">
        <v>1709500</v>
      </c>
      <c r="E136" s="20" t="s">
        <v>2</v>
      </c>
      <c r="F136" s="20">
        <v>30279874.02</v>
      </c>
      <c r="G136" s="10"/>
      <c r="H136" s="10"/>
      <c r="I136" s="1" t="s">
        <v>2</v>
      </c>
      <c r="K136" s="1" t="s">
        <v>2</v>
      </c>
      <c r="L136" s="1" t="s">
        <v>2</v>
      </c>
    </row>
    <row r="137" spans="1:12" x14ac:dyDescent="0.35">
      <c r="A137" s="10"/>
      <c r="B137" s="10"/>
      <c r="C137" s="10"/>
      <c r="D137" s="21">
        <f>D136-D135</f>
        <v>0</v>
      </c>
      <c r="E137" s="10"/>
      <c r="F137" s="21">
        <f>F136-F135</f>
        <v>0</v>
      </c>
      <c r="G137" s="10"/>
      <c r="H137" s="10"/>
    </row>
    <row r="138" spans="1:12" x14ac:dyDescent="0.35">
      <c r="A138" s="10"/>
      <c r="B138" s="10"/>
      <c r="C138" s="10"/>
      <c r="D138" s="10"/>
      <c r="E138" s="10"/>
      <c r="F138" s="10"/>
      <c r="G138" s="10"/>
      <c r="H138" s="10"/>
    </row>
    <row r="139" spans="1:12" x14ac:dyDescent="0.35">
      <c r="A139" s="10" t="s">
        <v>69</v>
      </c>
      <c r="B139" s="10" t="s">
        <v>70</v>
      </c>
      <c r="C139" s="10"/>
      <c r="D139" s="20">
        <v>47025329.25</v>
      </c>
      <c r="E139" s="20" t="s">
        <v>2</v>
      </c>
      <c r="F139" s="20">
        <v>303819852.98000002</v>
      </c>
      <c r="G139" s="10" t="s">
        <v>2</v>
      </c>
      <c r="H139" s="10"/>
    </row>
    <row r="140" spans="1:12" x14ac:dyDescent="0.35">
      <c r="A140" s="10" t="s">
        <v>69</v>
      </c>
      <c r="B140" s="10" t="s">
        <v>70</v>
      </c>
      <c r="C140" s="10" t="s">
        <v>2</v>
      </c>
      <c r="D140" s="20">
        <v>47025329.25</v>
      </c>
      <c r="E140" s="20" t="s">
        <v>2</v>
      </c>
      <c r="F140" s="20">
        <v>303819852.98000002</v>
      </c>
      <c r="G140" s="10"/>
      <c r="H140" s="10"/>
      <c r="I140" s="1" t="s">
        <v>2</v>
      </c>
      <c r="K140" s="1" t="s">
        <v>2</v>
      </c>
      <c r="L140" s="1" t="s">
        <v>2</v>
      </c>
    </row>
    <row r="141" spans="1:12" x14ac:dyDescent="0.35">
      <c r="A141" s="10"/>
      <c r="B141" s="10"/>
      <c r="C141" s="10"/>
      <c r="D141" s="21">
        <f>D140-D139</f>
        <v>0</v>
      </c>
      <c r="E141" s="10"/>
      <c r="F141" s="21">
        <f>F140-F139</f>
        <v>0</v>
      </c>
      <c r="G141" s="10"/>
      <c r="H141" s="10"/>
    </row>
    <row r="142" spans="1:12" x14ac:dyDescent="0.35">
      <c r="A142" s="10"/>
      <c r="B142" s="10"/>
      <c r="C142" s="10"/>
      <c r="D142" s="10"/>
      <c r="E142" s="10"/>
      <c r="F142" s="10"/>
      <c r="G142" s="10"/>
      <c r="H142" s="10"/>
    </row>
    <row r="143" spans="1:12" x14ac:dyDescent="0.35">
      <c r="A143" s="10" t="s">
        <v>71</v>
      </c>
      <c r="B143" s="10" t="s">
        <v>72</v>
      </c>
      <c r="C143" s="10"/>
      <c r="D143" s="20">
        <v>390969340.31</v>
      </c>
      <c r="E143" s="20" t="s">
        <v>2</v>
      </c>
      <c r="F143" s="20">
        <v>8653938077.3799992</v>
      </c>
      <c r="G143" s="10" t="s">
        <v>2</v>
      </c>
      <c r="H143" s="10"/>
    </row>
    <row r="144" spans="1:12" x14ac:dyDescent="0.35">
      <c r="A144" s="10" t="s">
        <v>71</v>
      </c>
      <c r="B144" s="10" t="s">
        <v>72</v>
      </c>
      <c r="C144" s="10" t="s">
        <v>2</v>
      </c>
      <c r="D144" s="20">
        <v>393871169.27999997</v>
      </c>
      <c r="E144" s="20" t="s">
        <v>2</v>
      </c>
      <c r="F144" s="20">
        <v>8656839906.3500004</v>
      </c>
      <c r="G144" s="10"/>
      <c r="H144" s="10"/>
      <c r="I144" s="1" t="s">
        <v>2</v>
      </c>
      <c r="K144" s="1" t="s">
        <v>2</v>
      </c>
      <c r="L144" s="1" t="s">
        <v>2</v>
      </c>
    </row>
    <row r="145" spans="1:12" x14ac:dyDescent="0.35">
      <c r="A145" s="10"/>
      <c r="B145" s="10"/>
      <c r="C145" s="10"/>
      <c r="D145" s="32">
        <f>D144-D143</f>
        <v>2901828.969999969</v>
      </c>
      <c r="E145" s="31"/>
      <c r="F145" s="32">
        <f>F144-F143</f>
        <v>2901828.9700012207</v>
      </c>
      <c r="G145" s="10"/>
      <c r="H145" s="10"/>
    </row>
    <row r="146" spans="1:12" x14ac:dyDescent="0.35">
      <c r="A146" s="10"/>
      <c r="B146" s="10"/>
      <c r="C146" s="10"/>
      <c r="D146" s="10"/>
      <c r="E146" s="10"/>
      <c r="F146" s="10"/>
      <c r="G146" s="10"/>
      <c r="H146" s="10"/>
    </row>
    <row r="147" spans="1:12" x14ac:dyDescent="0.35">
      <c r="A147" s="10" t="s">
        <v>73</v>
      </c>
      <c r="B147" s="10" t="s">
        <v>74</v>
      </c>
      <c r="C147" s="10"/>
      <c r="D147" s="20">
        <v>170000</v>
      </c>
      <c r="E147" s="20" t="s">
        <v>2</v>
      </c>
      <c r="F147" s="20">
        <v>49006319.399999999</v>
      </c>
      <c r="G147" s="10" t="s">
        <v>2</v>
      </c>
      <c r="H147" s="10"/>
    </row>
    <row r="148" spans="1:12" x14ac:dyDescent="0.35">
      <c r="A148" s="10" t="s">
        <v>73</v>
      </c>
      <c r="B148" s="10" t="s">
        <v>74</v>
      </c>
      <c r="C148" s="10" t="s">
        <v>2</v>
      </c>
      <c r="D148" s="20">
        <v>170000</v>
      </c>
      <c r="E148" s="20" t="s">
        <v>2</v>
      </c>
      <c r="F148" s="20">
        <v>49006319.399999999</v>
      </c>
      <c r="G148" s="10"/>
      <c r="H148" s="10"/>
      <c r="I148" s="1" t="s">
        <v>2</v>
      </c>
      <c r="K148" s="1" t="s">
        <v>2</v>
      </c>
      <c r="L148" s="1" t="s">
        <v>2</v>
      </c>
    </row>
    <row r="149" spans="1:12" x14ac:dyDescent="0.35">
      <c r="A149" s="10"/>
      <c r="B149" s="10"/>
      <c r="C149" s="10"/>
      <c r="D149" s="21">
        <f>D148-D147</f>
        <v>0</v>
      </c>
      <c r="E149" s="10"/>
      <c r="F149" s="21">
        <f>F148-F147</f>
        <v>0</v>
      </c>
      <c r="G149" s="10"/>
      <c r="H149" s="10"/>
    </row>
    <row r="150" spans="1:12" x14ac:dyDescent="0.35">
      <c r="A150" s="10"/>
      <c r="B150" s="10"/>
      <c r="C150" s="10"/>
      <c r="D150" s="10"/>
      <c r="E150" s="10"/>
      <c r="F150" s="10"/>
      <c r="G150" s="10"/>
      <c r="H150" s="10"/>
    </row>
    <row r="151" spans="1:12" x14ac:dyDescent="0.35">
      <c r="A151" s="10" t="s">
        <v>75</v>
      </c>
      <c r="B151" s="10" t="s">
        <v>76</v>
      </c>
      <c r="C151" s="10"/>
      <c r="D151" s="20">
        <v>15783643.4</v>
      </c>
      <c r="E151" s="20" t="s">
        <v>2</v>
      </c>
      <c r="F151" s="20">
        <v>512246868.97000003</v>
      </c>
      <c r="G151" s="10" t="s">
        <v>2</v>
      </c>
      <c r="H151" s="10"/>
    </row>
    <row r="152" spans="1:12" x14ac:dyDescent="0.35">
      <c r="A152" s="10" t="s">
        <v>75</v>
      </c>
      <c r="B152" s="10" t="s">
        <v>76</v>
      </c>
      <c r="C152" s="10" t="s">
        <v>2</v>
      </c>
      <c r="D152" s="20">
        <v>15723650.390000001</v>
      </c>
      <c r="E152" s="20" t="s">
        <v>2</v>
      </c>
      <c r="F152" s="20">
        <v>512186875.95999998</v>
      </c>
      <c r="G152" s="10"/>
      <c r="H152" s="10"/>
      <c r="I152" s="1" t="s">
        <v>2</v>
      </c>
      <c r="K152" s="1" t="s">
        <v>2</v>
      </c>
      <c r="L152" s="1" t="s">
        <v>2</v>
      </c>
    </row>
    <row r="153" spans="1:12" x14ac:dyDescent="0.35">
      <c r="A153" s="10"/>
      <c r="B153" s="10"/>
      <c r="C153" s="10"/>
      <c r="D153" s="32">
        <f>D152-D151</f>
        <v>-59993.009999999776</v>
      </c>
      <c r="E153" s="31"/>
      <c r="F153" s="32">
        <f>F152-F151</f>
        <v>-59993.010000050068</v>
      </c>
      <c r="G153" s="10"/>
      <c r="H153" s="10"/>
    </row>
    <row r="154" spans="1:12" x14ac:dyDescent="0.35">
      <c r="A154" s="10"/>
      <c r="B154" s="10"/>
      <c r="C154" s="10"/>
      <c r="D154" s="10"/>
      <c r="E154" s="10"/>
      <c r="F154" s="10"/>
      <c r="G154" s="10"/>
      <c r="H154" s="10"/>
    </row>
    <row r="155" spans="1:12" x14ac:dyDescent="0.35">
      <c r="A155" s="10" t="s">
        <v>77</v>
      </c>
      <c r="B155" s="10" t="s">
        <v>78</v>
      </c>
      <c r="C155" s="10"/>
      <c r="D155" s="20">
        <v>48192398.729999997</v>
      </c>
      <c r="E155" s="20" t="s">
        <v>2</v>
      </c>
      <c r="F155" s="20">
        <v>523208035.69999999</v>
      </c>
      <c r="G155" s="10" t="s">
        <v>2</v>
      </c>
      <c r="H155" s="10"/>
    </row>
    <row r="156" spans="1:12" x14ac:dyDescent="0.35">
      <c r="A156" s="10" t="s">
        <v>77</v>
      </c>
      <c r="B156" s="10" t="s">
        <v>78</v>
      </c>
      <c r="C156" s="10" t="s">
        <v>2</v>
      </c>
      <c r="D156" s="20">
        <v>45913879.920000002</v>
      </c>
      <c r="E156" s="20" t="s">
        <v>2</v>
      </c>
      <c r="F156" s="20">
        <v>520929516.88999999</v>
      </c>
      <c r="G156" s="10"/>
      <c r="H156" s="10"/>
      <c r="I156" s="1" t="s">
        <v>2</v>
      </c>
      <c r="K156" s="1" t="s">
        <v>2</v>
      </c>
      <c r="L156" s="1" t="s">
        <v>2</v>
      </c>
    </row>
    <row r="157" spans="1:12" x14ac:dyDescent="0.35">
      <c r="A157" s="10"/>
      <c r="B157" s="10"/>
      <c r="C157" s="10"/>
      <c r="D157" s="32">
        <f>D156-D155</f>
        <v>-2278518.8099999949</v>
      </c>
      <c r="E157" s="31"/>
      <c r="F157" s="32">
        <f>F156-F155</f>
        <v>-2278518.8100000024</v>
      </c>
      <c r="G157" s="10"/>
      <c r="H157" s="10"/>
    </row>
    <row r="158" spans="1:12" x14ac:dyDescent="0.35">
      <c r="A158" s="10"/>
      <c r="B158" s="10"/>
      <c r="C158" s="10"/>
      <c r="D158" s="10"/>
      <c r="E158" s="10"/>
      <c r="F158" s="10"/>
      <c r="G158" s="10"/>
      <c r="H158" s="10"/>
    </row>
    <row r="159" spans="1:12" x14ac:dyDescent="0.35">
      <c r="A159" s="10" t="s">
        <v>79</v>
      </c>
      <c r="B159" s="10" t="s">
        <v>80</v>
      </c>
      <c r="C159" s="10"/>
      <c r="D159" s="20">
        <v>17800447.600000001</v>
      </c>
      <c r="E159" s="20" t="s">
        <v>2</v>
      </c>
      <c r="F159" s="20">
        <v>695799578.10000002</v>
      </c>
      <c r="G159" s="10" t="s">
        <v>2</v>
      </c>
      <c r="H159" s="10"/>
    </row>
    <row r="160" spans="1:12" x14ac:dyDescent="0.35">
      <c r="A160" s="10" t="s">
        <v>79</v>
      </c>
      <c r="B160" s="10" t="s">
        <v>80</v>
      </c>
      <c r="C160" s="10" t="s">
        <v>2</v>
      </c>
      <c r="D160" s="20">
        <v>18979882.59</v>
      </c>
      <c r="E160" s="20" t="s">
        <v>2</v>
      </c>
      <c r="F160" s="20">
        <v>696979013.09000003</v>
      </c>
      <c r="G160" s="10"/>
      <c r="H160" s="10"/>
      <c r="I160" s="1" t="s">
        <v>2</v>
      </c>
      <c r="K160" s="1" t="s">
        <v>2</v>
      </c>
      <c r="L160" s="1" t="s">
        <v>2</v>
      </c>
    </row>
    <row r="161" spans="1:12" x14ac:dyDescent="0.35">
      <c r="A161" s="10"/>
      <c r="B161" s="10"/>
      <c r="C161" s="10"/>
      <c r="D161" s="32">
        <f>D160-D159</f>
        <v>1179434.9899999984</v>
      </c>
      <c r="E161" s="31"/>
      <c r="F161" s="32">
        <f>F160-F159</f>
        <v>1179434.9900000095</v>
      </c>
      <c r="G161" s="10"/>
      <c r="H161" s="10"/>
    </row>
    <row r="162" spans="1:12" x14ac:dyDescent="0.35">
      <c r="A162" s="10"/>
      <c r="B162" s="10"/>
      <c r="C162" s="10"/>
      <c r="D162" s="10"/>
      <c r="E162" s="10"/>
      <c r="F162" s="10"/>
      <c r="G162" s="10"/>
      <c r="H162" s="10"/>
    </row>
    <row r="163" spans="1:12" x14ac:dyDescent="0.35">
      <c r="A163" s="10" t="s">
        <v>81</v>
      </c>
      <c r="B163" s="10" t="s">
        <v>82</v>
      </c>
      <c r="C163" s="10"/>
      <c r="D163" s="20">
        <v>247072310.93000001</v>
      </c>
      <c r="E163" s="20" t="s">
        <v>2</v>
      </c>
      <c r="F163" s="20">
        <v>5973683839.8100004</v>
      </c>
      <c r="G163" s="10" t="s">
        <v>2</v>
      </c>
      <c r="H163" s="10"/>
    </row>
    <row r="164" spans="1:12" x14ac:dyDescent="0.35">
      <c r="A164" s="10" t="s">
        <v>81</v>
      </c>
      <c r="B164" s="10" t="s">
        <v>82</v>
      </c>
      <c r="C164" s="10" t="s">
        <v>2</v>
      </c>
      <c r="D164" s="20">
        <v>246083936.91999999</v>
      </c>
      <c r="E164" s="20" t="s">
        <v>2</v>
      </c>
      <c r="F164" s="20">
        <v>5972695465.8000002</v>
      </c>
      <c r="G164" s="10"/>
      <c r="H164" s="10"/>
      <c r="I164" s="1" t="s">
        <v>2</v>
      </c>
      <c r="K164" s="1" t="s">
        <v>2</v>
      </c>
      <c r="L164" s="1" t="s">
        <v>2</v>
      </c>
    </row>
    <row r="165" spans="1:12" x14ac:dyDescent="0.35">
      <c r="A165" s="10"/>
      <c r="B165" s="10"/>
      <c r="C165" s="10"/>
      <c r="D165" s="32">
        <f>D164-D163</f>
        <v>-988374.01000002027</v>
      </c>
      <c r="E165" s="31"/>
      <c r="F165" s="32">
        <f>F164-F163</f>
        <v>-988374.01000022888</v>
      </c>
      <c r="G165" s="10"/>
      <c r="H165" s="10"/>
    </row>
    <row r="166" spans="1:12" x14ac:dyDescent="0.35">
      <c r="A166" s="10"/>
      <c r="B166" s="10"/>
      <c r="C166" s="10"/>
      <c r="D166" s="10"/>
      <c r="E166" s="10"/>
      <c r="F166" s="10"/>
      <c r="G166" s="10"/>
      <c r="H166" s="10"/>
    </row>
    <row r="167" spans="1:12" x14ac:dyDescent="0.35">
      <c r="A167" s="10" t="s">
        <v>83</v>
      </c>
      <c r="B167" s="10" t="s">
        <v>84</v>
      </c>
      <c r="C167" s="10"/>
      <c r="D167" s="10" t="s">
        <v>2</v>
      </c>
      <c r="E167" s="10" t="s">
        <v>2</v>
      </c>
      <c r="F167" s="20">
        <v>75386974.260000005</v>
      </c>
      <c r="G167" s="10" t="s">
        <v>2</v>
      </c>
      <c r="H167" s="10"/>
    </row>
    <row r="168" spans="1:12" x14ac:dyDescent="0.35">
      <c r="A168" s="10" t="s">
        <v>83</v>
      </c>
      <c r="B168" s="10" t="s">
        <v>84</v>
      </c>
      <c r="C168" s="10" t="s">
        <v>2</v>
      </c>
      <c r="D168" s="10" t="s">
        <v>2</v>
      </c>
      <c r="E168" s="10" t="s">
        <v>2</v>
      </c>
      <c r="F168" s="20">
        <v>75386974.260000005</v>
      </c>
      <c r="G168" s="10"/>
      <c r="H168" s="10"/>
      <c r="I168" s="1" t="s">
        <v>2</v>
      </c>
      <c r="K168" s="1" t="s">
        <v>2</v>
      </c>
      <c r="L168" s="1" t="s">
        <v>2</v>
      </c>
    </row>
    <row r="169" spans="1:12" x14ac:dyDescent="0.35">
      <c r="A169" s="10"/>
      <c r="B169" s="10"/>
      <c r="C169" s="10"/>
      <c r="D169" s="10"/>
      <c r="E169" s="10"/>
      <c r="F169" s="21">
        <f>F168-F167</f>
        <v>0</v>
      </c>
      <c r="G169" s="10"/>
      <c r="H169" s="10"/>
    </row>
    <row r="170" spans="1:12" x14ac:dyDescent="0.35">
      <c r="A170" s="10"/>
      <c r="B170" s="10"/>
      <c r="C170" s="10"/>
      <c r="D170" s="10"/>
      <c r="E170" s="10"/>
      <c r="F170" s="10"/>
      <c r="G170" s="10"/>
      <c r="H170" s="10"/>
    </row>
    <row r="171" spans="1:12" x14ac:dyDescent="0.35">
      <c r="A171" s="10" t="s">
        <v>85</v>
      </c>
      <c r="B171" s="10" t="s">
        <v>86</v>
      </c>
      <c r="C171" s="10"/>
      <c r="D171" s="10" t="s">
        <v>2</v>
      </c>
      <c r="E171" s="10" t="s">
        <v>2</v>
      </c>
      <c r="F171" s="20">
        <v>39238648</v>
      </c>
      <c r="G171" s="10" t="s">
        <v>2</v>
      </c>
      <c r="H171" s="10"/>
    </row>
    <row r="172" spans="1:12" x14ac:dyDescent="0.35">
      <c r="A172" s="10" t="s">
        <v>85</v>
      </c>
      <c r="B172" s="10" t="s">
        <v>86</v>
      </c>
      <c r="C172" s="10" t="s">
        <v>2</v>
      </c>
      <c r="D172" s="10" t="s">
        <v>2</v>
      </c>
      <c r="E172" s="10" t="s">
        <v>2</v>
      </c>
      <c r="F172" s="20">
        <v>39238648</v>
      </c>
      <c r="G172" s="10"/>
      <c r="H172" s="10"/>
      <c r="I172" s="1" t="s">
        <v>2</v>
      </c>
      <c r="K172" s="1" t="s">
        <v>2</v>
      </c>
      <c r="L172" s="1" t="s">
        <v>2</v>
      </c>
    </row>
    <row r="173" spans="1:12" x14ac:dyDescent="0.35">
      <c r="A173" s="10"/>
      <c r="B173" s="10"/>
      <c r="C173" s="10"/>
      <c r="D173" s="10"/>
      <c r="E173" s="10"/>
      <c r="F173" s="21">
        <f>F172-F171</f>
        <v>0</v>
      </c>
      <c r="G173" s="10"/>
      <c r="H173" s="10"/>
    </row>
    <row r="174" spans="1:12" x14ac:dyDescent="0.35">
      <c r="A174" s="10"/>
      <c r="B174" s="10"/>
      <c r="C174" s="10"/>
      <c r="D174" s="10"/>
      <c r="E174" s="10"/>
      <c r="F174" s="10"/>
      <c r="G174" s="10"/>
      <c r="H174" s="10"/>
    </row>
    <row r="175" spans="1:12" x14ac:dyDescent="0.35">
      <c r="A175" s="10" t="s">
        <v>87</v>
      </c>
      <c r="B175" s="10" t="s">
        <v>88</v>
      </c>
      <c r="C175" s="10"/>
      <c r="D175" s="20">
        <v>149245937.31999999</v>
      </c>
      <c r="E175" s="20" t="s">
        <v>2</v>
      </c>
      <c r="F175" s="20">
        <v>2169856516.4499998</v>
      </c>
      <c r="G175" s="10" t="s">
        <v>2</v>
      </c>
      <c r="H175" s="10"/>
    </row>
    <row r="176" spans="1:12" x14ac:dyDescent="0.35">
      <c r="A176" s="10" t="s">
        <v>87</v>
      </c>
      <c r="B176" s="10" t="s">
        <v>88</v>
      </c>
      <c r="C176" s="10" t="s">
        <v>2</v>
      </c>
      <c r="D176" s="20">
        <v>155680472.88999999</v>
      </c>
      <c r="E176" s="20" t="s">
        <v>2</v>
      </c>
      <c r="F176" s="20">
        <v>2175292670.9200001</v>
      </c>
      <c r="G176" s="10"/>
      <c r="H176" s="10"/>
      <c r="I176" s="1" t="s">
        <v>2</v>
      </c>
      <c r="K176" s="1" t="s">
        <v>2</v>
      </c>
      <c r="L176" s="1" t="s">
        <v>2</v>
      </c>
    </row>
    <row r="177" spans="1:12" x14ac:dyDescent="0.35">
      <c r="A177" s="10"/>
      <c r="B177" s="10"/>
      <c r="C177" s="10"/>
      <c r="D177" s="32">
        <f>D176-D175</f>
        <v>6434535.5699999928</v>
      </c>
      <c r="E177" s="31"/>
      <c r="F177" s="32">
        <f>F176-F175</f>
        <v>5436154.470000267</v>
      </c>
      <c r="G177" s="32">
        <f>F177-D177</f>
        <v>-998381.09999972582</v>
      </c>
      <c r="H177" s="32">
        <f>F177-D177</f>
        <v>-998381.09999972582</v>
      </c>
    </row>
    <row r="178" spans="1:12" x14ac:dyDescent="0.35">
      <c r="A178" s="10"/>
      <c r="B178" s="10"/>
      <c r="C178" s="10"/>
      <c r="D178" s="10"/>
      <c r="E178" s="10"/>
      <c r="F178" s="10"/>
      <c r="G178" s="10"/>
      <c r="H178" s="10"/>
    </row>
    <row r="179" spans="1:12" x14ac:dyDescent="0.35">
      <c r="A179" s="10" t="s">
        <v>89</v>
      </c>
      <c r="B179" s="10" t="s">
        <v>90</v>
      </c>
      <c r="C179" s="10"/>
      <c r="D179" s="20">
        <v>33968916.979999997</v>
      </c>
      <c r="E179" s="20" t="s">
        <v>2</v>
      </c>
      <c r="F179" s="20">
        <v>315134601.62</v>
      </c>
      <c r="G179" s="10" t="s">
        <v>2</v>
      </c>
      <c r="H179" s="10"/>
    </row>
    <row r="180" spans="1:12" x14ac:dyDescent="0.35">
      <c r="A180" s="10" t="s">
        <v>89</v>
      </c>
      <c r="B180" s="10" t="s">
        <v>90</v>
      </c>
      <c r="C180" s="10" t="s">
        <v>2</v>
      </c>
      <c r="D180" s="20">
        <v>33626416.979999997</v>
      </c>
      <c r="E180" s="20" t="s">
        <v>2</v>
      </c>
      <c r="F180" s="20">
        <v>314792101.62</v>
      </c>
      <c r="G180" s="10"/>
      <c r="H180" s="10"/>
      <c r="I180" s="1" t="s">
        <v>2</v>
      </c>
      <c r="K180" s="1" t="s">
        <v>2</v>
      </c>
      <c r="L180" s="1" t="s">
        <v>2</v>
      </c>
    </row>
    <row r="181" spans="1:12" x14ac:dyDescent="0.35">
      <c r="A181" s="10"/>
      <c r="B181" s="10"/>
      <c r="C181" s="10"/>
      <c r="D181" s="32">
        <f>D180-D179</f>
        <v>-342500</v>
      </c>
      <c r="E181" s="31"/>
      <c r="F181" s="32">
        <f>F180-F179</f>
        <v>-342500</v>
      </c>
      <c r="G181" s="21">
        <f>F181-D181</f>
        <v>0</v>
      </c>
      <c r="H181" s="10"/>
    </row>
    <row r="182" spans="1:12" x14ac:dyDescent="0.35">
      <c r="A182" s="10"/>
      <c r="B182" s="10"/>
      <c r="C182" s="10"/>
      <c r="D182" s="10"/>
      <c r="E182" s="10"/>
      <c r="F182" s="10"/>
      <c r="G182" s="21">
        <f t="shared" ref="G182:G245" si="0">F182-D182</f>
        <v>0</v>
      </c>
      <c r="H182" s="10"/>
    </row>
    <row r="183" spans="1:12" x14ac:dyDescent="0.35">
      <c r="A183" s="10" t="s">
        <v>91</v>
      </c>
      <c r="B183" s="10" t="s">
        <v>92</v>
      </c>
      <c r="C183" s="10"/>
      <c r="D183" s="20">
        <v>1394562447.6400001</v>
      </c>
      <c r="E183" s="20" t="s">
        <v>2</v>
      </c>
      <c r="F183" s="20">
        <v>15951933573.01</v>
      </c>
      <c r="G183" s="21"/>
      <c r="H183" s="10"/>
    </row>
    <row r="184" spans="1:12" x14ac:dyDescent="0.35">
      <c r="A184" s="10" t="s">
        <v>91</v>
      </c>
      <c r="B184" s="10" t="s">
        <v>92</v>
      </c>
      <c r="C184" s="10" t="s">
        <v>2</v>
      </c>
      <c r="D184" s="20">
        <v>1397803793.6300001</v>
      </c>
      <c r="E184" s="20" t="s">
        <v>2</v>
      </c>
      <c r="F184" s="20">
        <v>15955174919</v>
      </c>
      <c r="G184" s="21"/>
      <c r="H184" s="10"/>
      <c r="I184" s="1" t="s">
        <v>2</v>
      </c>
      <c r="K184" s="1" t="s">
        <v>2</v>
      </c>
      <c r="L184" s="1" t="s">
        <v>2</v>
      </c>
    </row>
    <row r="185" spans="1:12" x14ac:dyDescent="0.35">
      <c r="A185" s="10"/>
      <c r="B185" s="10"/>
      <c r="C185" s="10"/>
      <c r="D185" s="32">
        <f>D184-D183</f>
        <v>3241345.9900000095</v>
      </c>
      <c r="E185" s="31"/>
      <c r="F185" s="32">
        <f>F184-F183</f>
        <v>3241345.9899997711</v>
      </c>
      <c r="G185" s="21">
        <f t="shared" si="0"/>
        <v>-2.384185791015625E-7</v>
      </c>
      <c r="H185" s="10"/>
    </row>
    <row r="186" spans="1:12" x14ac:dyDescent="0.35">
      <c r="A186" s="10"/>
      <c r="B186" s="10"/>
      <c r="C186" s="10"/>
      <c r="D186" s="10"/>
      <c r="E186" s="10"/>
      <c r="F186" s="10"/>
      <c r="G186" s="21">
        <f t="shared" si="0"/>
        <v>0</v>
      </c>
      <c r="H186" s="10"/>
    </row>
    <row r="187" spans="1:12" x14ac:dyDescent="0.35">
      <c r="A187" s="10" t="s">
        <v>93</v>
      </c>
      <c r="B187" s="10" t="s">
        <v>94</v>
      </c>
      <c r="C187" s="10"/>
      <c r="D187" s="20">
        <v>324267620.43000001</v>
      </c>
      <c r="E187" s="20" t="s">
        <v>2</v>
      </c>
      <c r="F187" s="20">
        <v>3761875017.3600001</v>
      </c>
      <c r="G187" s="21"/>
      <c r="H187" s="10"/>
    </row>
    <row r="188" spans="1:12" x14ac:dyDescent="0.35">
      <c r="A188" s="10" t="s">
        <v>93</v>
      </c>
      <c r="B188" s="10" t="s">
        <v>94</v>
      </c>
      <c r="C188" s="10" t="s">
        <v>2</v>
      </c>
      <c r="D188" s="20">
        <v>324916371.43000001</v>
      </c>
      <c r="E188" s="10" t="s">
        <v>2</v>
      </c>
      <c r="F188" s="20">
        <v>3762523768.3600001</v>
      </c>
      <c r="G188" s="21"/>
      <c r="H188" s="10"/>
      <c r="I188" s="1" t="s">
        <v>2</v>
      </c>
      <c r="K188" s="1" t="s">
        <v>2</v>
      </c>
      <c r="L188" s="1" t="s">
        <v>2</v>
      </c>
    </row>
    <row r="189" spans="1:12" x14ac:dyDescent="0.35">
      <c r="A189" s="10"/>
      <c r="B189" s="10"/>
      <c r="C189" s="10"/>
      <c r="D189" s="32">
        <f>D188-D187</f>
        <v>648751</v>
      </c>
      <c r="E189" s="31"/>
      <c r="F189" s="32">
        <f>F188-F187</f>
        <v>648751</v>
      </c>
      <c r="G189" s="21">
        <f t="shared" si="0"/>
        <v>0</v>
      </c>
      <c r="H189" s="10"/>
    </row>
    <row r="190" spans="1:12" x14ac:dyDescent="0.35">
      <c r="A190" s="10"/>
      <c r="B190" s="10"/>
      <c r="C190" s="10"/>
      <c r="D190" s="10"/>
      <c r="E190" s="10"/>
      <c r="F190" s="10"/>
      <c r="G190" s="21">
        <f t="shared" si="0"/>
        <v>0</v>
      </c>
      <c r="H190" s="10"/>
    </row>
    <row r="191" spans="1:12" x14ac:dyDescent="0.35">
      <c r="A191" s="10" t="s">
        <v>95</v>
      </c>
      <c r="B191" s="10" t="s">
        <v>96</v>
      </c>
      <c r="C191" s="10"/>
      <c r="D191" s="20">
        <v>256531396.88</v>
      </c>
      <c r="E191" s="20" t="s">
        <v>2</v>
      </c>
      <c r="F191" s="20">
        <v>3290178606.6900001</v>
      </c>
      <c r="G191" s="21"/>
      <c r="H191" s="10"/>
    </row>
    <row r="192" spans="1:12" x14ac:dyDescent="0.35">
      <c r="A192" s="10" t="s">
        <v>95</v>
      </c>
      <c r="B192" s="10" t="s">
        <v>96</v>
      </c>
      <c r="C192" s="10" t="s">
        <v>2</v>
      </c>
      <c r="D192" s="20">
        <v>261009815.38</v>
      </c>
      <c r="E192" s="10" t="s">
        <v>2</v>
      </c>
      <c r="F192" s="20">
        <v>3294073332.1900001</v>
      </c>
      <c r="G192" s="21"/>
      <c r="H192" s="10"/>
      <c r="I192" s="1" t="s">
        <v>2</v>
      </c>
      <c r="K192" s="1" t="s">
        <v>2</v>
      </c>
      <c r="L192" s="1" t="s">
        <v>2</v>
      </c>
    </row>
    <row r="193" spans="1:12" x14ac:dyDescent="0.35">
      <c r="A193" s="10"/>
      <c r="B193" s="10"/>
      <c r="C193" s="10"/>
      <c r="D193" s="32">
        <f>D192-D191</f>
        <v>4478418.5</v>
      </c>
      <c r="E193" s="31"/>
      <c r="F193" s="32">
        <f>F192-F191</f>
        <v>3894725.5</v>
      </c>
      <c r="G193" s="21">
        <f t="shared" si="0"/>
        <v>-583693</v>
      </c>
      <c r="H193" s="32">
        <f>F193-D193</f>
        <v>-583693</v>
      </c>
    </row>
    <row r="194" spans="1:12" x14ac:dyDescent="0.35">
      <c r="A194" s="10"/>
      <c r="B194" s="10"/>
      <c r="C194" s="10"/>
      <c r="D194" s="10"/>
      <c r="E194" s="10"/>
      <c r="F194" s="10"/>
      <c r="G194" s="21">
        <f t="shared" si="0"/>
        <v>0</v>
      </c>
      <c r="H194" s="10"/>
    </row>
    <row r="195" spans="1:12" x14ac:dyDescent="0.35">
      <c r="A195" s="10" t="s">
        <v>97</v>
      </c>
      <c r="B195" s="10" t="s">
        <v>98</v>
      </c>
      <c r="C195" s="10"/>
      <c r="D195" s="20">
        <v>69885245.480000004</v>
      </c>
      <c r="E195" s="20" t="s">
        <v>2</v>
      </c>
      <c r="F195" s="20">
        <v>427543771.80000001</v>
      </c>
      <c r="G195" s="21"/>
      <c r="H195" s="10"/>
    </row>
    <row r="196" spans="1:12" x14ac:dyDescent="0.35">
      <c r="A196" s="10" t="s">
        <v>97</v>
      </c>
      <c r="B196" s="10" t="s">
        <v>98</v>
      </c>
      <c r="C196" s="10" t="s">
        <v>2</v>
      </c>
      <c r="D196" s="20">
        <v>71581745.480000004</v>
      </c>
      <c r="E196" s="20" t="s">
        <v>2</v>
      </c>
      <c r="F196" s="20">
        <v>429240271.80000001</v>
      </c>
      <c r="G196" s="21"/>
      <c r="H196" s="10"/>
      <c r="I196" s="1" t="s">
        <v>2</v>
      </c>
      <c r="K196" s="1" t="s">
        <v>2</v>
      </c>
      <c r="L196" s="1" t="s">
        <v>2</v>
      </c>
    </row>
    <row r="197" spans="1:12" x14ac:dyDescent="0.35">
      <c r="A197" s="10"/>
      <c r="B197" s="10"/>
      <c r="C197" s="10"/>
      <c r="D197" s="32">
        <f>D196-D195</f>
        <v>1696500</v>
      </c>
      <c r="E197" s="31"/>
      <c r="F197" s="32">
        <f>F196-F195</f>
        <v>1696500</v>
      </c>
      <c r="G197" s="21">
        <f t="shared" si="0"/>
        <v>0</v>
      </c>
      <c r="H197" s="10"/>
    </row>
    <row r="198" spans="1:12" x14ac:dyDescent="0.35">
      <c r="A198" s="10"/>
      <c r="B198" s="10"/>
      <c r="C198" s="10"/>
      <c r="D198" s="10"/>
      <c r="E198" s="10"/>
      <c r="F198" s="10"/>
      <c r="G198" s="21">
        <f t="shared" si="0"/>
        <v>0</v>
      </c>
      <c r="H198" s="10"/>
    </row>
    <row r="199" spans="1:12" x14ac:dyDescent="0.35">
      <c r="A199" s="10" t="s">
        <v>99</v>
      </c>
      <c r="B199" s="10" t="s">
        <v>100</v>
      </c>
      <c r="C199" s="10"/>
      <c r="D199" s="20">
        <v>15329797</v>
      </c>
      <c r="E199" s="20" t="s">
        <v>2</v>
      </c>
      <c r="F199" s="20">
        <v>387031571.75999999</v>
      </c>
      <c r="G199" s="21"/>
      <c r="H199" s="10"/>
    </row>
    <row r="200" spans="1:12" x14ac:dyDescent="0.35">
      <c r="A200" s="10" t="s">
        <v>99</v>
      </c>
      <c r="B200" s="10" t="s">
        <v>100</v>
      </c>
      <c r="C200" s="10" t="s">
        <v>2</v>
      </c>
      <c r="D200" s="20">
        <v>15267127</v>
      </c>
      <c r="E200" s="20" t="s">
        <v>2</v>
      </c>
      <c r="F200" s="20">
        <v>386881401.75999999</v>
      </c>
      <c r="G200" s="21"/>
      <c r="H200" s="10"/>
      <c r="I200" s="1" t="s">
        <v>2</v>
      </c>
      <c r="K200" s="1" t="s">
        <v>2</v>
      </c>
      <c r="L200" s="1" t="s">
        <v>2</v>
      </c>
    </row>
    <row r="201" spans="1:12" x14ac:dyDescent="0.35">
      <c r="A201" s="10"/>
      <c r="B201" s="10"/>
      <c r="C201" s="10"/>
      <c r="D201" s="32">
        <f>D200-D199</f>
        <v>-62670</v>
      </c>
      <c r="E201" s="31"/>
      <c r="F201" s="32">
        <f>F200-F199</f>
        <v>-150170</v>
      </c>
      <c r="G201" s="21">
        <f t="shared" si="0"/>
        <v>-87500</v>
      </c>
      <c r="H201" s="29">
        <f>F201-D201</f>
        <v>-87500</v>
      </c>
    </row>
    <row r="202" spans="1:12" x14ac:dyDescent="0.35">
      <c r="A202" s="10"/>
      <c r="B202" s="10"/>
      <c r="C202" s="10"/>
      <c r="D202" s="10"/>
      <c r="E202" s="10"/>
      <c r="F202" s="10"/>
      <c r="G202" s="21">
        <f t="shared" si="0"/>
        <v>0</v>
      </c>
      <c r="H202" s="10"/>
    </row>
    <row r="203" spans="1:12" x14ac:dyDescent="0.35">
      <c r="A203" s="10" t="s">
        <v>101</v>
      </c>
      <c r="B203" s="10" t="s">
        <v>102</v>
      </c>
      <c r="C203" s="10"/>
      <c r="D203" s="20">
        <v>6978196.9000000004</v>
      </c>
      <c r="E203" s="20" t="s">
        <v>2</v>
      </c>
      <c r="F203" s="20">
        <v>362300364.75</v>
      </c>
      <c r="G203" s="21"/>
      <c r="H203" s="10"/>
    </row>
    <row r="204" spans="1:12" x14ac:dyDescent="0.35">
      <c r="A204" s="10" t="s">
        <v>101</v>
      </c>
      <c r="B204" s="10" t="s">
        <v>102</v>
      </c>
      <c r="C204" s="10" t="s">
        <v>2</v>
      </c>
      <c r="D204" s="20">
        <v>6978195.9000000004</v>
      </c>
      <c r="E204" s="20" t="s">
        <v>2</v>
      </c>
      <c r="F204" s="20">
        <v>362300363.75</v>
      </c>
      <c r="G204" s="21"/>
      <c r="H204" s="10"/>
      <c r="I204" s="1" t="s">
        <v>2</v>
      </c>
      <c r="K204" s="1" t="s">
        <v>2</v>
      </c>
      <c r="L204" s="1" t="s">
        <v>2</v>
      </c>
    </row>
    <row r="205" spans="1:12" x14ac:dyDescent="0.35">
      <c r="A205" s="10"/>
      <c r="B205" s="10"/>
      <c r="C205" s="10"/>
      <c r="D205" s="32">
        <f>D204-D203</f>
        <v>-1</v>
      </c>
      <c r="E205" s="31"/>
      <c r="F205" s="32">
        <f>F204-F203</f>
        <v>-1</v>
      </c>
      <c r="G205" s="21">
        <f t="shared" si="0"/>
        <v>0</v>
      </c>
      <c r="H205" s="10"/>
    </row>
    <row r="206" spans="1:12" x14ac:dyDescent="0.35">
      <c r="A206" s="10"/>
      <c r="B206" s="10"/>
      <c r="C206" s="10"/>
      <c r="D206" s="10"/>
      <c r="E206" s="10"/>
      <c r="F206" s="10"/>
      <c r="G206" s="21">
        <f t="shared" si="0"/>
        <v>0</v>
      </c>
      <c r="H206" s="10"/>
    </row>
    <row r="207" spans="1:12" x14ac:dyDescent="0.35">
      <c r="A207" s="10" t="s">
        <v>103</v>
      </c>
      <c r="B207" s="10" t="s">
        <v>104</v>
      </c>
      <c r="C207" s="10"/>
      <c r="D207" s="20">
        <v>6020054.6500000004</v>
      </c>
      <c r="E207" s="20" t="s">
        <v>2</v>
      </c>
      <c r="F207" s="20">
        <v>78027332.049999997</v>
      </c>
      <c r="G207" s="21"/>
      <c r="H207" s="10"/>
    </row>
    <row r="208" spans="1:12" x14ac:dyDescent="0.35">
      <c r="A208" s="10" t="s">
        <v>103</v>
      </c>
      <c r="B208" s="10" t="s">
        <v>104</v>
      </c>
      <c r="C208" s="10" t="s">
        <v>2</v>
      </c>
      <c r="D208" s="20">
        <v>6020054.6500000004</v>
      </c>
      <c r="E208" s="10" t="s">
        <v>2</v>
      </c>
      <c r="F208" s="20">
        <v>78027332.049999997</v>
      </c>
      <c r="G208" s="21"/>
      <c r="H208" s="10"/>
      <c r="I208" s="1" t="s">
        <v>2</v>
      </c>
      <c r="K208" s="1" t="s">
        <v>2</v>
      </c>
      <c r="L208" s="1" t="s">
        <v>2</v>
      </c>
    </row>
    <row r="209" spans="1:12" x14ac:dyDescent="0.35">
      <c r="A209" s="10"/>
      <c r="B209" s="10"/>
      <c r="C209" s="10"/>
      <c r="D209" s="21">
        <f>D208-D207</f>
        <v>0</v>
      </c>
      <c r="E209" s="10"/>
      <c r="F209" s="21">
        <f>F208-F207</f>
        <v>0</v>
      </c>
      <c r="G209" s="21">
        <f t="shared" si="0"/>
        <v>0</v>
      </c>
      <c r="H209" s="10"/>
    </row>
    <row r="210" spans="1:12" x14ac:dyDescent="0.35">
      <c r="A210" s="10"/>
      <c r="B210" s="10"/>
      <c r="C210" s="10"/>
      <c r="D210" s="10"/>
      <c r="E210" s="10"/>
      <c r="F210" s="10"/>
      <c r="G210" s="21">
        <f t="shared" si="0"/>
        <v>0</v>
      </c>
      <c r="H210" s="10"/>
    </row>
    <row r="211" spans="1:12" x14ac:dyDescent="0.35">
      <c r="A211" s="10" t="s">
        <v>105</v>
      </c>
      <c r="B211" s="10" t="s">
        <v>106</v>
      </c>
      <c r="C211" s="10"/>
      <c r="D211" s="20">
        <v>7755610.5999999996</v>
      </c>
      <c r="E211" s="10" t="s">
        <v>2</v>
      </c>
      <c r="F211" s="20">
        <v>72584398.049999997</v>
      </c>
      <c r="G211" s="21"/>
      <c r="H211" s="10"/>
    </row>
    <row r="212" spans="1:12" x14ac:dyDescent="0.35">
      <c r="A212" s="10" t="s">
        <v>105</v>
      </c>
      <c r="B212" s="10" t="s">
        <v>106</v>
      </c>
      <c r="C212" s="10" t="s">
        <v>2</v>
      </c>
      <c r="D212" s="20">
        <v>7755610.5999999996</v>
      </c>
      <c r="E212" s="20" t="s">
        <v>2</v>
      </c>
      <c r="F212" s="20">
        <v>72584398.049999997</v>
      </c>
      <c r="G212" s="21"/>
      <c r="H212" s="10"/>
      <c r="I212" s="1" t="s">
        <v>2</v>
      </c>
      <c r="K212" s="1" t="s">
        <v>2</v>
      </c>
      <c r="L212" s="1" t="s">
        <v>2</v>
      </c>
    </row>
    <row r="213" spans="1:12" x14ac:dyDescent="0.35">
      <c r="A213" s="10"/>
      <c r="B213" s="10"/>
      <c r="C213" s="10"/>
      <c r="D213" s="21">
        <f>D212-D211</f>
        <v>0</v>
      </c>
      <c r="E213" s="10"/>
      <c r="F213" s="21">
        <f>F212-F211</f>
        <v>0</v>
      </c>
      <c r="G213" s="21">
        <f t="shared" si="0"/>
        <v>0</v>
      </c>
      <c r="H213" s="10"/>
    </row>
    <row r="214" spans="1:12" x14ac:dyDescent="0.35">
      <c r="A214" s="10"/>
      <c r="B214" s="10"/>
      <c r="C214" s="10"/>
      <c r="D214" s="10"/>
      <c r="E214" s="10"/>
      <c r="F214" s="10"/>
      <c r="G214" s="21">
        <f t="shared" si="0"/>
        <v>0</v>
      </c>
      <c r="H214" s="10"/>
    </row>
    <row r="215" spans="1:12" x14ac:dyDescent="0.35">
      <c r="A215" s="10" t="s">
        <v>107</v>
      </c>
      <c r="B215" s="10" t="s">
        <v>108</v>
      </c>
      <c r="C215" s="10"/>
      <c r="D215" s="20">
        <v>128300902.94</v>
      </c>
      <c r="E215" s="20" t="s">
        <v>2</v>
      </c>
      <c r="F215" s="20">
        <v>1637539015.0799999</v>
      </c>
      <c r="G215" s="21"/>
      <c r="H215" s="10"/>
    </row>
    <row r="216" spans="1:12" x14ac:dyDescent="0.35">
      <c r="A216" s="10" t="s">
        <v>107</v>
      </c>
      <c r="B216" s="10" t="s">
        <v>108</v>
      </c>
      <c r="C216" s="10" t="s">
        <v>2</v>
      </c>
      <c r="D216" s="20">
        <v>131441575.98999999</v>
      </c>
      <c r="E216" s="10" t="s">
        <v>2</v>
      </c>
      <c r="F216" s="20">
        <v>1640100867.1300001</v>
      </c>
      <c r="G216" s="21"/>
      <c r="H216" s="10"/>
      <c r="I216" s="1" t="s">
        <v>2</v>
      </c>
      <c r="K216" s="1" t="s">
        <v>2</v>
      </c>
      <c r="L216" s="1" t="s">
        <v>2</v>
      </c>
    </row>
    <row r="217" spans="1:12" x14ac:dyDescent="0.35">
      <c r="A217" s="10"/>
      <c r="B217" s="10"/>
      <c r="C217" s="10"/>
      <c r="D217" s="32">
        <f>D216-D215</f>
        <v>3140673.049999997</v>
      </c>
      <c r="E217" s="31"/>
      <c r="F217" s="32">
        <f>F216-F215</f>
        <v>2561852.0500001907</v>
      </c>
      <c r="G217" s="21">
        <f t="shared" si="0"/>
        <v>-578820.99999980628</v>
      </c>
      <c r="H217" s="21">
        <f>F217-D217</f>
        <v>-578820.99999980628</v>
      </c>
    </row>
    <row r="218" spans="1:12" x14ac:dyDescent="0.35">
      <c r="A218" s="10"/>
      <c r="B218" s="10"/>
      <c r="C218" s="10"/>
      <c r="D218" s="10"/>
      <c r="E218" s="10"/>
      <c r="F218" s="10"/>
      <c r="G218" s="21">
        <f t="shared" si="0"/>
        <v>0</v>
      </c>
      <c r="H218" s="10"/>
    </row>
    <row r="219" spans="1:12" x14ac:dyDescent="0.35">
      <c r="A219" s="10" t="s">
        <v>109</v>
      </c>
      <c r="B219" s="10" t="s">
        <v>110</v>
      </c>
      <c r="C219" s="10"/>
      <c r="D219" s="20">
        <v>23224996.899999999</v>
      </c>
      <c r="E219" s="20" t="s">
        <v>2</v>
      </c>
      <c r="F219" s="20">
        <v>411688233.55000001</v>
      </c>
      <c r="G219" s="21"/>
      <c r="H219" s="10"/>
    </row>
    <row r="220" spans="1:12" x14ac:dyDescent="0.35">
      <c r="A220" s="10" t="s">
        <v>109</v>
      </c>
      <c r="B220" s="10" t="s">
        <v>110</v>
      </c>
      <c r="C220" s="10" t="s">
        <v>2</v>
      </c>
      <c r="D220" s="20">
        <v>23229940.300000001</v>
      </c>
      <c r="E220" s="20" t="s">
        <v>2</v>
      </c>
      <c r="F220" s="20">
        <v>411693176.94999999</v>
      </c>
      <c r="G220" s="21"/>
      <c r="H220" s="10"/>
      <c r="I220" s="1" t="s">
        <v>2</v>
      </c>
      <c r="K220" s="1" t="s">
        <v>2</v>
      </c>
      <c r="L220" s="1" t="s">
        <v>2</v>
      </c>
    </row>
    <row r="221" spans="1:12" x14ac:dyDescent="0.35">
      <c r="A221" s="10"/>
      <c r="B221" s="10"/>
      <c r="C221" s="10"/>
      <c r="D221" s="32">
        <f>D220-D219</f>
        <v>4943.4000000022352</v>
      </c>
      <c r="E221" s="31"/>
      <c r="F221" s="32">
        <f>F220-F219</f>
        <v>4943.3999999761581</v>
      </c>
      <c r="G221" s="21">
        <f t="shared" si="0"/>
        <v>-2.6077032089233398E-8</v>
      </c>
      <c r="H221" s="10"/>
    </row>
    <row r="222" spans="1:12" x14ac:dyDescent="0.35">
      <c r="A222" s="10"/>
      <c r="B222" s="10"/>
      <c r="C222" s="10"/>
      <c r="D222" s="10"/>
      <c r="E222" s="10"/>
      <c r="F222" s="10"/>
      <c r="G222" s="21">
        <f t="shared" si="0"/>
        <v>0</v>
      </c>
      <c r="H222" s="10"/>
    </row>
    <row r="223" spans="1:12" x14ac:dyDescent="0.35">
      <c r="A223" s="10" t="s">
        <v>111</v>
      </c>
      <c r="B223" s="10" t="s">
        <v>112</v>
      </c>
      <c r="C223" s="10"/>
      <c r="D223" s="20">
        <v>9781091.2300000004</v>
      </c>
      <c r="E223" s="20" t="s">
        <v>2</v>
      </c>
      <c r="F223" s="20">
        <v>175298148.49000001</v>
      </c>
      <c r="G223" s="21"/>
      <c r="H223" s="10"/>
    </row>
    <row r="224" spans="1:12" x14ac:dyDescent="0.35">
      <c r="A224" s="10" t="s">
        <v>111</v>
      </c>
      <c r="B224" s="10" t="s">
        <v>112</v>
      </c>
      <c r="C224" s="10" t="s">
        <v>2</v>
      </c>
      <c r="D224" s="20">
        <v>9777449.1300000008</v>
      </c>
      <c r="E224" s="20" t="s">
        <v>2</v>
      </c>
      <c r="F224" s="20">
        <v>175294506.38999999</v>
      </c>
      <c r="G224" s="21"/>
      <c r="H224" s="10"/>
      <c r="I224" s="1" t="s">
        <v>2</v>
      </c>
      <c r="K224" s="1" t="s">
        <v>2</v>
      </c>
      <c r="L224" s="1" t="s">
        <v>2</v>
      </c>
    </row>
    <row r="225" spans="1:12" x14ac:dyDescent="0.35">
      <c r="A225" s="10"/>
      <c r="B225" s="10"/>
      <c r="C225" s="10"/>
      <c r="D225" s="32">
        <f>D224-D223</f>
        <v>-3642.0999999996275</v>
      </c>
      <c r="E225" s="31"/>
      <c r="F225" s="32">
        <f>F224-F223</f>
        <v>-3642.1000000238419</v>
      </c>
      <c r="G225" s="21">
        <f t="shared" si="0"/>
        <v>-2.4214386940002441E-8</v>
      </c>
      <c r="H225" s="10"/>
    </row>
    <row r="226" spans="1:12" x14ac:dyDescent="0.35">
      <c r="A226" s="10"/>
      <c r="B226" s="10"/>
      <c r="C226" s="10"/>
      <c r="D226" s="10"/>
      <c r="E226" s="10"/>
      <c r="F226" s="10"/>
      <c r="G226" s="21">
        <f t="shared" si="0"/>
        <v>0</v>
      </c>
      <c r="H226" s="10"/>
    </row>
    <row r="227" spans="1:12" x14ac:dyDescent="0.35">
      <c r="A227" s="10" t="s">
        <v>113</v>
      </c>
      <c r="B227" s="10" t="s">
        <v>114</v>
      </c>
      <c r="C227" s="10"/>
      <c r="D227" s="20">
        <v>29026160.890000001</v>
      </c>
      <c r="E227" s="20" t="s">
        <v>2</v>
      </c>
      <c r="F227" s="20">
        <v>367727245.31999999</v>
      </c>
      <c r="G227" s="21"/>
      <c r="H227" s="10"/>
    </row>
    <row r="228" spans="1:12" x14ac:dyDescent="0.35">
      <c r="A228" s="10" t="s">
        <v>113</v>
      </c>
      <c r="B228" s="10" t="s">
        <v>114</v>
      </c>
      <c r="C228" s="10" t="s">
        <v>2</v>
      </c>
      <c r="D228" s="20">
        <v>28946160.890000001</v>
      </c>
      <c r="E228" s="10" t="s">
        <v>2</v>
      </c>
      <c r="F228" s="20">
        <v>367647245.31999999</v>
      </c>
      <c r="G228" s="21"/>
      <c r="H228" s="10"/>
      <c r="I228" s="1" t="s">
        <v>2</v>
      </c>
      <c r="K228" s="1" t="s">
        <v>2</v>
      </c>
      <c r="L228" s="1" t="s">
        <v>2</v>
      </c>
    </row>
    <row r="229" spans="1:12" x14ac:dyDescent="0.35">
      <c r="A229" s="10"/>
      <c r="B229" s="10"/>
      <c r="C229" s="10"/>
      <c r="D229" s="32">
        <f>D228-D227</f>
        <v>-80000</v>
      </c>
      <c r="E229" s="31"/>
      <c r="F229" s="32">
        <f>F228-F227</f>
        <v>-80000</v>
      </c>
      <c r="G229" s="21">
        <f t="shared" si="0"/>
        <v>0</v>
      </c>
      <c r="H229" s="10"/>
    </row>
    <row r="230" spans="1:12" x14ac:dyDescent="0.35">
      <c r="A230" s="10"/>
      <c r="B230" s="10"/>
      <c r="C230" s="10"/>
      <c r="D230" s="10"/>
      <c r="E230" s="10"/>
      <c r="F230" s="10"/>
      <c r="G230" s="21">
        <f t="shared" si="0"/>
        <v>0</v>
      </c>
      <c r="H230" s="10"/>
    </row>
    <row r="231" spans="1:12" x14ac:dyDescent="0.35">
      <c r="A231" s="10" t="s">
        <v>115</v>
      </c>
      <c r="B231" s="10" t="s">
        <v>116</v>
      </c>
      <c r="C231" s="10"/>
      <c r="D231" s="10" t="s">
        <v>2</v>
      </c>
      <c r="E231" s="10" t="s">
        <v>2</v>
      </c>
      <c r="F231" s="20">
        <v>172868943.77000001</v>
      </c>
      <c r="G231" s="21"/>
      <c r="H231" s="10"/>
    </row>
    <row r="232" spans="1:12" x14ac:dyDescent="0.35">
      <c r="A232" s="10" t="s">
        <v>115</v>
      </c>
      <c r="B232" s="10" t="s">
        <v>116</v>
      </c>
      <c r="C232" s="10" t="s">
        <v>2</v>
      </c>
      <c r="D232" s="10" t="s">
        <v>2</v>
      </c>
      <c r="E232" s="10" t="s">
        <v>2</v>
      </c>
      <c r="F232" s="20">
        <v>172868943.77000001</v>
      </c>
      <c r="G232" s="21"/>
      <c r="H232" s="10"/>
      <c r="I232" s="1" t="s">
        <v>2</v>
      </c>
      <c r="K232" s="1" t="s">
        <v>2</v>
      </c>
      <c r="L232" s="1" t="s">
        <v>2</v>
      </c>
    </row>
    <row r="233" spans="1:12" x14ac:dyDescent="0.35">
      <c r="A233" s="10"/>
      <c r="B233" s="10"/>
      <c r="C233" s="10"/>
      <c r="D233" s="10"/>
      <c r="E233" s="10"/>
      <c r="F233" s="21">
        <f>F232-F231</f>
        <v>0</v>
      </c>
      <c r="G233" s="21">
        <f t="shared" si="0"/>
        <v>0</v>
      </c>
      <c r="H233" s="10"/>
    </row>
    <row r="234" spans="1:12" x14ac:dyDescent="0.35">
      <c r="A234" s="10"/>
      <c r="B234" s="10"/>
      <c r="C234" s="10"/>
      <c r="D234" s="10"/>
      <c r="E234" s="10"/>
      <c r="F234" s="10"/>
      <c r="G234" s="21">
        <f t="shared" si="0"/>
        <v>0</v>
      </c>
      <c r="H234" s="10"/>
    </row>
    <row r="235" spans="1:12" x14ac:dyDescent="0.35">
      <c r="A235" s="10" t="s">
        <v>117</v>
      </c>
      <c r="B235" s="10" t="s">
        <v>118</v>
      </c>
      <c r="C235" s="10"/>
      <c r="D235" s="20">
        <v>6802.17</v>
      </c>
      <c r="E235" s="20" t="s">
        <v>2</v>
      </c>
      <c r="F235" s="20">
        <v>95462499.689999998</v>
      </c>
      <c r="G235" s="21"/>
      <c r="H235" s="10"/>
    </row>
    <row r="236" spans="1:12" x14ac:dyDescent="0.35">
      <c r="A236" s="10" t="s">
        <v>117</v>
      </c>
      <c r="B236" s="10" t="s">
        <v>118</v>
      </c>
      <c r="C236" s="10" t="s">
        <v>2</v>
      </c>
      <c r="D236" s="20">
        <v>6802.17</v>
      </c>
      <c r="E236" s="20" t="s">
        <v>2</v>
      </c>
      <c r="F236" s="20">
        <v>95462499.689999998</v>
      </c>
      <c r="G236" s="21"/>
      <c r="H236" s="10"/>
      <c r="I236" s="1" t="s">
        <v>2</v>
      </c>
      <c r="K236" s="1" t="s">
        <v>2</v>
      </c>
      <c r="L236" s="1" t="s">
        <v>2</v>
      </c>
    </row>
    <row r="237" spans="1:12" x14ac:dyDescent="0.35">
      <c r="A237" s="10"/>
      <c r="B237" s="10"/>
      <c r="C237" s="10"/>
      <c r="D237" s="32">
        <f>D236-D235</f>
        <v>0</v>
      </c>
      <c r="E237" s="31"/>
      <c r="F237" s="32">
        <f>F236-F235</f>
        <v>0</v>
      </c>
      <c r="G237" s="21"/>
      <c r="H237" s="10"/>
    </row>
    <row r="238" spans="1:12" x14ac:dyDescent="0.35">
      <c r="A238" s="10"/>
      <c r="B238" s="10"/>
      <c r="C238" s="10"/>
      <c r="D238" s="10"/>
      <c r="E238" s="10"/>
      <c r="F238" s="10"/>
      <c r="G238" s="21"/>
      <c r="H238" s="10"/>
    </row>
    <row r="239" spans="1:12" x14ac:dyDescent="0.35">
      <c r="A239" s="10" t="s">
        <v>119</v>
      </c>
      <c r="B239" s="10" t="s">
        <v>120</v>
      </c>
      <c r="C239" s="10"/>
      <c r="D239" s="10" t="s">
        <v>2</v>
      </c>
      <c r="E239" s="10" t="s">
        <v>2</v>
      </c>
      <c r="F239" s="20">
        <v>1981232</v>
      </c>
      <c r="G239" s="21"/>
      <c r="H239" s="10"/>
    </row>
    <row r="240" spans="1:12" x14ac:dyDescent="0.35">
      <c r="A240" s="10" t="s">
        <v>119</v>
      </c>
      <c r="B240" s="10" t="s">
        <v>120</v>
      </c>
      <c r="C240" s="10" t="s">
        <v>2</v>
      </c>
      <c r="D240" s="10" t="s">
        <v>2</v>
      </c>
      <c r="E240" s="10" t="s">
        <v>2</v>
      </c>
      <c r="F240" s="20">
        <v>1981232</v>
      </c>
      <c r="G240" s="21"/>
      <c r="H240" s="10"/>
      <c r="I240" s="1" t="s">
        <v>2</v>
      </c>
      <c r="K240" s="1" t="s">
        <v>2</v>
      </c>
      <c r="L240" s="1" t="s">
        <v>2</v>
      </c>
    </row>
    <row r="241" spans="1:12" x14ac:dyDescent="0.35">
      <c r="A241" s="10"/>
      <c r="B241" s="10"/>
      <c r="C241" s="10"/>
      <c r="D241" s="10"/>
      <c r="E241" s="10"/>
      <c r="F241" s="21">
        <f>F240-F239</f>
        <v>0</v>
      </c>
      <c r="G241" s="21"/>
      <c r="H241" s="10"/>
    </row>
    <row r="242" spans="1:12" x14ac:dyDescent="0.35">
      <c r="A242" s="10"/>
      <c r="B242" s="10"/>
      <c r="C242" s="10"/>
      <c r="D242" s="10"/>
      <c r="E242" s="10"/>
      <c r="F242" s="10"/>
      <c r="G242" s="21"/>
      <c r="H242" s="10"/>
    </row>
    <row r="243" spans="1:12" x14ac:dyDescent="0.35">
      <c r="A243" s="10" t="s">
        <v>121</v>
      </c>
      <c r="B243" s="10" t="s">
        <v>122</v>
      </c>
      <c r="C243" s="10"/>
      <c r="D243" s="10" t="s">
        <v>2</v>
      </c>
      <c r="E243" s="10" t="s">
        <v>2</v>
      </c>
      <c r="F243" s="20">
        <v>3179737.75</v>
      </c>
      <c r="G243" s="21"/>
      <c r="H243" s="10"/>
    </row>
    <row r="244" spans="1:12" x14ac:dyDescent="0.35">
      <c r="A244" s="10" t="s">
        <v>121</v>
      </c>
      <c r="B244" s="10" t="s">
        <v>122</v>
      </c>
      <c r="C244" s="10" t="s">
        <v>2</v>
      </c>
      <c r="D244" s="10" t="s">
        <v>2</v>
      </c>
      <c r="E244" s="10" t="s">
        <v>2</v>
      </c>
      <c r="F244" s="20">
        <v>3179737.75</v>
      </c>
      <c r="G244" s="21"/>
      <c r="H244" s="10"/>
      <c r="I244" s="1" t="s">
        <v>2</v>
      </c>
      <c r="K244" s="1" t="s">
        <v>2</v>
      </c>
      <c r="L244" s="1" t="s">
        <v>2</v>
      </c>
    </row>
    <row r="245" spans="1:12" x14ac:dyDescent="0.35">
      <c r="A245" s="10"/>
      <c r="B245" s="10"/>
      <c r="C245" s="10"/>
      <c r="D245" s="10"/>
      <c r="E245" s="10"/>
      <c r="F245" s="21">
        <f>F244-F243</f>
        <v>0</v>
      </c>
      <c r="G245" s="21"/>
      <c r="H245" s="10"/>
    </row>
    <row r="246" spans="1:12" x14ac:dyDescent="0.35">
      <c r="A246" s="10"/>
      <c r="B246" s="10"/>
      <c r="C246" s="10"/>
      <c r="D246" s="10"/>
      <c r="E246" s="10"/>
      <c r="F246" s="10"/>
      <c r="G246" s="10"/>
      <c r="H246" s="10"/>
    </row>
    <row r="247" spans="1:12" x14ac:dyDescent="0.35">
      <c r="A247" s="10" t="s">
        <v>123</v>
      </c>
      <c r="B247" s="10" t="s">
        <v>124</v>
      </c>
      <c r="C247" s="10"/>
      <c r="D247" s="10" t="s">
        <v>2</v>
      </c>
      <c r="E247" s="10" t="s">
        <v>2</v>
      </c>
      <c r="F247" s="10" t="s">
        <v>2</v>
      </c>
      <c r="G247" s="20">
        <v>56789596.75</v>
      </c>
      <c r="H247" s="10"/>
    </row>
    <row r="248" spans="1:12" x14ac:dyDescent="0.35">
      <c r="A248" s="10" t="s">
        <v>123</v>
      </c>
      <c r="B248" s="10" t="s">
        <v>124</v>
      </c>
      <c r="C248" s="10" t="s">
        <v>2</v>
      </c>
      <c r="D248" s="10" t="s">
        <v>2</v>
      </c>
      <c r="E248" s="10" t="s">
        <v>2</v>
      </c>
      <c r="F248" s="10" t="s">
        <v>2</v>
      </c>
      <c r="G248" s="20">
        <v>56789596.75</v>
      </c>
      <c r="H248" s="10"/>
      <c r="I248" s="1" t="s">
        <v>2</v>
      </c>
      <c r="J248" s="1" t="s">
        <v>2</v>
      </c>
      <c r="K248" s="1" t="s">
        <v>2</v>
      </c>
    </row>
    <row r="249" spans="1:12" x14ac:dyDescent="0.35">
      <c r="A249" s="10"/>
      <c r="B249" s="10"/>
      <c r="C249" s="10"/>
      <c r="D249" s="10"/>
      <c r="E249" s="10"/>
      <c r="F249" s="10"/>
      <c r="G249" s="21">
        <f>G248-G247</f>
        <v>0</v>
      </c>
      <c r="H249" s="10"/>
    </row>
    <row r="250" spans="1:12" x14ac:dyDescent="0.35">
      <c r="A250" s="10"/>
      <c r="B250" s="10"/>
      <c r="C250" s="10"/>
      <c r="D250" s="10"/>
      <c r="E250" s="10"/>
      <c r="F250" s="10"/>
      <c r="G250" s="10"/>
      <c r="H250" s="10"/>
    </row>
    <row r="251" spans="1:12" x14ac:dyDescent="0.35">
      <c r="A251" s="10" t="s">
        <v>125</v>
      </c>
      <c r="B251" s="10" t="s">
        <v>126</v>
      </c>
      <c r="C251" s="10"/>
      <c r="D251" s="10" t="s">
        <v>2</v>
      </c>
      <c r="E251" s="10" t="s">
        <v>2</v>
      </c>
      <c r="F251" s="20">
        <v>1445178262.5899999</v>
      </c>
      <c r="G251" s="10" t="s">
        <v>2</v>
      </c>
      <c r="H251" s="10"/>
    </row>
    <row r="252" spans="1:12" x14ac:dyDescent="0.35">
      <c r="A252" s="10" t="s">
        <v>125</v>
      </c>
      <c r="B252" s="10" t="s">
        <v>126</v>
      </c>
      <c r="C252" s="10" t="s">
        <v>2</v>
      </c>
      <c r="D252" s="10" t="s">
        <v>2</v>
      </c>
      <c r="E252" s="10" t="s">
        <v>2</v>
      </c>
      <c r="F252" s="20">
        <v>1445178262.5899999</v>
      </c>
      <c r="G252" s="10"/>
      <c r="H252" s="10"/>
      <c r="I252" s="1" t="s">
        <v>2</v>
      </c>
      <c r="K252" s="1" t="s">
        <v>2</v>
      </c>
      <c r="L252" s="1" t="s">
        <v>2</v>
      </c>
    </row>
    <row r="253" spans="1:12" x14ac:dyDescent="0.35">
      <c r="A253" s="10"/>
      <c r="B253" s="10"/>
      <c r="C253" s="10"/>
      <c r="D253" s="10"/>
      <c r="E253" s="10"/>
      <c r="F253" s="21">
        <f>F252-F251</f>
        <v>0</v>
      </c>
      <c r="G253" s="10"/>
      <c r="H253" s="10"/>
    </row>
    <row r="254" spans="1:12" x14ac:dyDescent="0.35">
      <c r="A254" s="10"/>
      <c r="B254" s="10"/>
      <c r="C254" s="10"/>
      <c r="D254" s="10"/>
      <c r="E254" s="10"/>
      <c r="F254" s="10"/>
      <c r="G254" s="10"/>
      <c r="H254" s="10"/>
    </row>
    <row r="255" spans="1:12" x14ac:dyDescent="0.35">
      <c r="A255" s="10" t="s">
        <v>127</v>
      </c>
      <c r="B255" s="10" t="s">
        <v>128</v>
      </c>
      <c r="C255" s="10"/>
      <c r="D255" s="20">
        <v>4050434362.3400002</v>
      </c>
      <c r="E255" s="20" t="s">
        <v>2</v>
      </c>
      <c r="F255" s="20">
        <v>57092821946.519997</v>
      </c>
      <c r="G255" s="10" t="s">
        <v>2</v>
      </c>
      <c r="H255" s="10"/>
    </row>
    <row r="256" spans="1:12" x14ac:dyDescent="0.35">
      <c r="A256" s="10" t="s">
        <v>127</v>
      </c>
      <c r="B256" s="10" t="s">
        <v>128</v>
      </c>
      <c r="C256" s="10" t="s">
        <v>2</v>
      </c>
      <c r="D256" s="20">
        <v>4058618682.0900002</v>
      </c>
      <c r="E256" s="20" t="s">
        <v>2</v>
      </c>
      <c r="F256" s="20">
        <v>57098757871.169998</v>
      </c>
      <c r="G256" s="10"/>
      <c r="H256" s="10"/>
      <c r="I256" s="1" t="s">
        <v>2</v>
      </c>
      <c r="K256" s="1" t="s">
        <v>2</v>
      </c>
      <c r="L256" s="1" t="s">
        <v>2</v>
      </c>
    </row>
    <row r="257" spans="1:11" x14ac:dyDescent="0.35">
      <c r="A257" s="10"/>
      <c r="B257" s="10"/>
      <c r="C257" s="10"/>
      <c r="D257" s="32">
        <f>D256-D255</f>
        <v>8184319.75</v>
      </c>
      <c r="E257" s="31"/>
      <c r="F257" s="32">
        <f>F256-F255</f>
        <v>5935924.6500015259</v>
      </c>
      <c r="G257" s="10"/>
      <c r="H257" s="29">
        <f>F257-D257</f>
        <v>-2248395.0999984741</v>
      </c>
    </row>
    <row r="258" spans="1:11" x14ac:dyDescent="0.35">
      <c r="A258" s="10"/>
      <c r="B258" s="10"/>
      <c r="C258" s="10"/>
      <c r="D258" s="10"/>
      <c r="E258" s="10"/>
      <c r="F258" s="10"/>
      <c r="G258" s="10"/>
      <c r="H258" s="10"/>
    </row>
    <row r="259" spans="1:11" x14ac:dyDescent="0.35">
      <c r="A259" s="10" t="s">
        <v>129</v>
      </c>
      <c r="B259" s="10" t="s">
        <v>130</v>
      </c>
      <c r="C259" s="10"/>
      <c r="D259" s="20">
        <v>379202531.54000002</v>
      </c>
      <c r="E259" s="20" t="s">
        <v>2</v>
      </c>
      <c r="F259" s="20" t="s">
        <v>2</v>
      </c>
      <c r="G259" s="20">
        <v>605752106.88</v>
      </c>
      <c r="H259" s="10"/>
    </row>
    <row r="260" spans="1:11" x14ac:dyDescent="0.35">
      <c r="A260" s="10" t="s">
        <v>129</v>
      </c>
      <c r="B260" s="10" t="s">
        <v>130</v>
      </c>
      <c r="C260" s="10" t="s">
        <v>2</v>
      </c>
      <c r="D260" s="20">
        <v>357742075.61000001</v>
      </c>
      <c r="E260" s="20" t="s">
        <v>2</v>
      </c>
      <c r="F260" s="20" t="s">
        <v>2</v>
      </c>
      <c r="G260" s="20">
        <v>630238457.90999997</v>
      </c>
      <c r="H260" s="10"/>
      <c r="I260" s="1" t="s">
        <v>2</v>
      </c>
      <c r="J260" s="1" t="s">
        <v>2</v>
      </c>
      <c r="K260" s="1" t="s">
        <v>2</v>
      </c>
    </row>
    <row r="261" spans="1:11" x14ac:dyDescent="0.35">
      <c r="A261" s="10"/>
      <c r="B261" s="10"/>
      <c r="C261" s="10"/>
      <c r="D261" s="32">
        <f>D260-D259</f>
        <v>-21460455.930000007</v>
      </c>
      <c r="E261" s="31"/>
      <c r="F261" s="31"/>
      <c r="G261" s="32">
        <f>G260-G259</f>
        <v>24486351.029999971</v>
      </c>
      <c r="H261" s="29">
        <f>G261-D261</f>
        <v>45946806.959999979</v>
      </c>
      <c r="I261" s="6">
        <f>G261+D261</f>
        <v>3025895.0999999642</v>
      </c>
    </row>
  </sheetData>
  <mergeCells count="5">
    <mergeCell ref="B2:C2"/>
    <mergeCell ref="B14:C14"/>
    <mergeCell ref="B18:C18"/>
    <mergeCell ref="L19:M19"/>
    <mergeCell ref="L35:M35"/>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Omondi Ouma</dc:creator>
  <cp:lastModifiedBy>Fred Omondi Ouma</cp:lastModifiedBy>
  <dcterms:created xsi:type="dcterms:W3CDTF">2026-02-19T18:13:09Z</dcterms:created>
  <dcterms:modified xsi:type="dcterms:W3CDTF">2026-02-19T20:13:00Z</dcterms:modified>
</cp:coreProperties>
</file>