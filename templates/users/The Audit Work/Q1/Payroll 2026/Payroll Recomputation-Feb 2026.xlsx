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uma.fred\Desktop\Internal Audit\2026 Audits\The Audit Work\Payroll 2026\"/>
    </mc:Choice>
  </mc:AlternateContent>
  <xr:revisionPtr revIDLastSave="0" documentId="13_ncr:1_{35C080F2-262C-42ED-AAE3-5AB746E8F4FF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Acerno_Cache_XXXXX" sheetId="4" state="veryHidden" r:id="rId1"/>
    <sheet name="Net pay recomputation" sheetId="2" r:id="rId2"/>
    <sheet name="Pension Computation" sheetId="1" r:id="rId3"/>
    <sheet name="Sheet3" sheetId="5" r:id="rId4"/>
    <sheet name="Remittance 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9" i="2" l="1"/>
  <c r="M18" i="1"/>
  <c r="AZ59" i="2"/>
  <c r="BH66" i="2"/>
  <c r="G17" i="1"/>
  <c r="E23" i="1"/>
  <c r="E24" i="1"/>
  <c r="E25" i="1"/>
  <c r="E27" i="1"/>
  <c r="E35" i="1"/>
  <c r="E22" i="1"/>
  <c r="M22" i="1"/>
  <c r="D23" i="1"/>
  <c r="D24" i="1"/>
  <c r="D25" i="1"/>
  <c r="D26" i="1"/>
  <c r="D27" i="1"/>
  <c r="D28" i="1"/>
  <c r="D29" i="1"/>
  <c r="D30" i="1"/>
  <c r="D31" i="1"/>
  <c r="D32" i="1"/>
  <c r="D33" i="1"/>
  <c r="K33" i="1" s="1"/>
  <c r="D34" i="1"/>
  <c r="K34" i="1" s="1"/>
  <c r="D35" i="1"/>
  <c r="K35" i="1" s="1"/>
  <c r="D36" i="1"/>
  <c r="K36" i="1" s="1"/>
  <c r="D22" i="1"/>
  <c r="E17" i="1"/>
  <c r="E36" i="1" s="1"/>
  <c r="BH58" i="2"/>
  <c r="BG57" i="2"/>
  <c r="BH57" i="2" s="1"/>
  <c r="BH56" i="2"/>
  <c r="BH40" i="2"/>
  <c r="BH39" i="2"/>
  <c r="BH38" i="2"/>
  <c r="BH36" i="2"/>
  <c r="BH41" i="2" s="1"/>
  <c r="BH23" i="2"/>
  <c r="BG22" i="2"/>
  <c r="BH22" i="2" s="1"/>
  <c r="BH21" i="2"/>
  <c r="BH14" i="2"/>
  <c r="BH8" i="2"/>
  <c r="AN46" i="2"/>
  <c r="AJ46" i="2"/>
  <c r="BD12" i="2"/>
  <c r="BC57" i="2"/>
  <c r="BD56" i="2"/>
  <c r="BD52" i="2"/>
  <c r="BD40" i="2"/>
  <c r="BD39" i="2"/>
  <c r="BD38" i="2"/>
  <c r="BD36" i="2"/>
  <c r="BC22" i="2"/>
  <c r="BD21" i="2"/>
  <c r="BD14" i="2"/>
  <c r="BD8" i="2"/>
  <c r="BD11" i="2" s="1"/>
  <c r="AZ58" i="2"/>
  <c r="AZ23" i="2"/>
  <c r="AZ14" i="2"/>
  <c r="AZ39" i="2"/>
  <c r="AZ40" i="2"/>
  <c r="AZ38" i="2"/>
  <c r="AZ36" i="2"/>
  <c r="M53" i="1"/>
  <c r="M54" i="1"/>
  <c r="M55" i="1"/>
  <c r="D18" i="1"/>
  <c r="E15" i="1"/>
  <c r="E34" i="1" s="1"/>
  <c r="D55" i="1"/>
  <c r="F55" i="1" s="1"/>
  <c r="AY57" i="2"/>
  <c r="AZ57" i="2" s="1"/>
  <c r="AZ56" i="2"/>
  <c r="AY22" i="2"/>
  <c r="AZ22" i="2" s="1"/>
  <c r="AZ21" i="2"/>
  <c r="AU57" i="2"/>
  <c r="AV57" i="2" s="1"/>
  <c r="AV56" i="2"/>
  <c r="AV41" i="2"/>
  <c r="AV46" i="2" s="1"/>
  <c r="AQ57" i="2"/>
  <c r="AR57" i="2" s="1"/>
  <c r="AR56" i="2"/>
  <c r="AR41" i="2"/>
  <c r="AR46" i="2" s="1"/>
  <c r="AM57" i="2"/>
  <c r="AN57" i="2" s="1"/>
  <c r="AN56" i="2"/>
  <c r="AN41" i="2"/>
  <c r="AI57" i="2"/>
  <c r="AJ57" i="2" s="1"/>
  <c r="AJ56" i="2"/>
  <c r="AJ41" i="2"/>
  <c r="AJ47" i="2" s="1"/>
  <c r="D54" i="1" l="1"/>
  <c r="F54" i="1" s="1"/>
  <c r="D53" i="1"/>
  <c r="F53" i="1" s="1"/>
  <c r="D37" i="1"/>
  <c r="BD41" i="2"/>
  <c r="BD46" i="2" s="1"/>
  <c r="BH45" i="2"/>
  <c r="BH49" i="2"/>
  <c r="BH48" i="2"/>
  <c r="BH47" i="2"/>
  <c r="BH46" i="2"/>
  <c r="BH11" i="2"/>
  <c r="BH16" i="2" s="1"/>
  <c r="BH12" i="2"/>
  <c r="BH13" i="2"/>
  <c r="BH15" i="2"/>
  <c r="BD13" i="2"/>
  <c r="BD15" i="2"/>
  <c r="AZ41" i="2"/>
  <c r="AZ48" i="2"/>
  <c r="AZ45" i="2"/>
  <c r="AV50" i="2"/>
  <c r="AV45" i="2"/>
  <c r="AV47" i="2"/>
  <c r="AV48" i="2"/>
  <c r="AV49" i="2"/>
  <c r="AR45" i="2"/>
  <c r="AR47" i="2"/>
  <c r="AR48" i="2"/>
  <c r="AR49" i="2"/>
  <c r="AN45" i="2"/>
  <c r="AN47" i="2"/>
  <c r="AN48" i="2"/>
  <c r="AN49" i="2"/>
  <c r="AJ45" i="2"/>
  <c r="AJ48" i="2"/>
  <c r="AJ49" i="2"/>
  <c r="AF58" i="2"/>
  <c r="AB58" i="2"/>
  <c r="AE57" i="2"/>
  <c r="AF57" i="2" s="1"/>
  <c r="AF56" i="2"/>
  <c r="AF41" i="2"/>
  <c r="AF46" i="2" s="1"/>
  <c r="AF23" i="2"/>
  <c r="AB41" i="2"/>
  <c r="AB23" i="2"/>
  <c r="X14" i="2"/>
  <c r="X8" i="2"/>
  <c r="M42" i="1"/>
  <c r="M43" i="1"/>
  <c r="M44" i="1"/>
  <c r="M45" i="1"/>
  <c r="M46" i="1"/>
  <c r="M47" i="1"/>
  <c r="M48" i="1"/>
  <c r="M49" i="1"/>
  <c r="M50" i="1"/>
  <c r="M51" i="1"/>
  <c r="M52" i="1"/>
  <c r="M41" i="1"/>
  <c r="J8" i="1"/>
  <c r="J9" i="1"/>
  <c r="J10" i="1"/>
  <c r="J11" i="1"/>
  <c r="J12" i="1"/>
  <c r="J13" i="1"/>
  <c r="J14" i="1"/>
  <c r="J15" i="1"/>
  <c r="J16" i="1"/>
  <c r="J17" i="1"/>
  <c r="J3" i="1"/>
  <c r="J22" i="1" s="1"/>
  <c r="J4" i="1"/>
  <c r="J5" i="1"/>
  <c r="J6" i="1"/>
  <c r="J7" i="1"/>
  <c r="P8" i="2"/>
  <c r="D41" i="2"/>
  <c r="D45" i="2" s="1"/>
  <c r="D8" i="2"/>
  <c r="D12" i="2" s="1"/>
  <c r="E41" i="1"/>
  <c r="E56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D48" i="1"/>
  <c r="D49" i="1"/>
  <c r="D50" i="1"/>
  <c r="D51" i="1"/>
  <c r="F51" i="1" s="1"/>
  <c r="D52" i="1"/>
  <c r="F52" i="1" s="1"/>
  <c r="D41" i="1"/>
  <c r="K23" i="1"/>
  <c r="K24" i="1"/>
  <c r="K25" i="1"/>
  <c r="K26" i="1"/>
  <c r="K27" i="1"/>
  <c r="K28" i="1"/>
  <c r="K29" i="1"/>
  <c r="K30" i="1"/>
  <c r="K31" i="1"/>
  <c r="K32" i="1"/>
  <c r="AV29" i="2"/>
  <c r="AV3" i="2"/>
  <c r="E14" i="1"/>
  <c r="AU22" i="2"/>
  <c r="AV22" i="2" s="1"/>
  <c r="AV21" i="2"/>
  <c r="K17" i="1"/>
  <c r="K55" i="1" s="1"/>
  <c r="K16" i="1"/>
  <c r="K15" i="1"/>
  <c r="K53" i="1" s="1"/>
  <c r="K14" i="1"/>
  <c r="K52" i="1" s="1"/>
  <c r="K13" i="1"/>
  <c r="K12" i="1"/>
  <c r="K11" i="1"/>
  <c r="K49" i="1" s="1"/>
  <c r="K10" i="1"/>
  <c r="K9" i="1"/>
  <c r="K8" i="1"/>
  <c r="K7" i="1"/>
  <c r="K6" i="1"/>
  <c r="K5" i="1"/>
  <c r="K4" i="1"/>
  <c r="K3" i="1"/>
  <c r="K22" i="1" s="1"/>
  <c r="AA57" i="2"/>
  <c r="AB57" i="2" s="1"/>
  <c r="AB56" i="2"/>
  <c r="W57" i="2"/>
  <c r="X57" i="2" s="1"/>
  <c r="X56" i="2"/>
  <c r="X39" i="2"/>
  <c r="X41" i="2" s="1"/>
  <c r="X46" i="2" s="1"/>
  <c r="E13" i="1"/>
  <c r="E32" i="1" s="1"/>
  <c r="S57" i="2"/>
  <c r="T57" i="2" s="1"/>
  <c r="T56" i="2"/>
  <c r="P36" i="2"/>
  <c r="P41" i="2" s="1"/>
  <c r="P49" i="2" s="1"/>
  <c r="O57" i="2"/>
  <c r="P57" i="2" s="1"/>
  <c r="P56" i="2"/>
  <c r="L36" i="2"/>
  <c r="L41" i="2" s="1"/>
  <c r="K56" i="2"/>
  <c r="L56" i="2" s="1"/>
  <c r="L55" i="2"/>
  <c r="H36" i="2"/>
  <c r="H41" i="2" s="1"/>
  <c r="H45" i="2" s="1"/>
  <c r="G56" i="2"/>
  <c r="H56" i="2" s="1"/>
  <c r="H55" i="2"/>
  <c r="D63" i="2"/>
  <c r="C56" i="2"/>
  <c r="D56" i="2" s="1"/>
  <c r="D55" i="2"/>
  <c r="AR3" i="2"/>
  <c r="AQ22" i="2"/>
  <c r="AR22" i="2" s="1"/>
  <c r="AR21" i="2"/>
  <c r="AN29" i="2"/>
  <c r="AN3" i="2"/>
  <c r="E12" i="1"/>
  <c r="AM22" i="2"/>
  <c r="AN22" i="2" s="1"/>
  <c r="AN21" i="2"/>
  <c r="AJ3" i="2"/>
  <c r="E11" i="1"/>
  <c r="AI22" i="2"/>
  <c r="AJ22" i="2" s="1"/>
  <c r="AJ21" i="2"/>
  <c r="E10" i="1"/>
  <c r="AF3" i="2"/>
  <c r="AF14" i="2" s="1"/>
  <c r="AE22" i="2"/>
  <c r="AF22" i="2" s="1"/>
  <c r="AF21" i="2"/>
  <c r="AB3" i="2"/>
  <c r="AA22" i="2"/>
  <c r="AB22" i="2" s="1"/>
  <c r="AB21" i="2"/>
  <c r="E9" i="1"/>
  <c r="W22" i="2"/>
  <c r="X22" i="2" s="1"/>
  <c r="X21" i="2"/>
  <c r="E7" i="1"/>
  <c r="T3" i="2"/>
  <c r="T8" i="2" s="1"/>
  <c r="T30" i="2"/>
  <c r="S22" i="2"/>
  <c r="T22" i="2" s="1"/>
  <c r="T21" i="2"/>
  <c r="G6" i="1"/>
  <c r="G7" i="1"/>
  <c r="G8" i="1"/>
  <c r="G9" i="1"/>
  <c r="G10" i="1"/>
  <c r="G11" i="1"/>
  <c r="G12" i="1"/>
  <c r="G13" i="1"/>
  <c r="G14" i="1"/>
  <c r="G15" i="1"/>
  <c r="G16" i="1"/>
  <c r="F6" i="1"/>
  <c r="F8" i="1"/>
  <c r="F15" i="1"/>
  <c r="F16" i="1"/>
  <c r="F17" i="1"/>
  <c r="P28" i="2"/>
  <c r="O22" i="2"/>
  <c r="P22" i="2" s="1"/>
  <c r="P21" i="2"/>
  <c r="P15" i="2"/>
  <c r="P14" i="2"/>
  <c r="P13" i="2"/>
  <c r="L29" i="2"/>
  <c r="K22" i="2"/>
  <c r="L22" i="2" s="1"/>
  <c r="L21" i="2"/>
  <c r="G5" i="1"/>
  <c r="F5" i="1"/>
  <c r="G22" i="2"/>
  <c r="H22" i="2" s="1"/>
  <c r="H21" i="2"/>
  <c r="G4" i="1"/>
  <c r="F4" i="1"/>
  <c r="D29" i="2"/>
  <c r="C22" i="2"/>
  <c r="D22" i="2" s="1"/>
  <c r="D21" i="2"/>
  <c r="K48" i="1" l="1"/>
  <c r="H16" i="1"/>
  <c r="F35" i="1"/>
  <c r="F34" i="1"/>
  <c r="H15" i="1"/>
  <c r="I15" i="1" s="1"/>
  <c r="L15" i="1" s="1"/>
  <c r="N15" i="1" s="1"/>
  <c r="F10" i="1"/>
  <c r="E29" i="1"/>
  <c r="K43" i="1"/>
  <c r="F24" i="1"/>
  <c r="G24" i="1" s="1"/>
  <c r="G43" i="1" s="1"/>
  <c r="H5" i="1"/>
  <c r="I5" i="1" s="1"/>
  <c r="H8" i="1"/>
  <c r="F27" i="1"/>
  <c r="G27" i="1" s="1"/>
  <c r="G46" i="1" s="1"/>
  <c r="F14" i="1"/>
  <c r="E33" i="1"/>
  <c r="F9" i="1"/>
  <c r="E28" i="1"/>
  <c r="M56" i="1"/>
  <c r="H4" i="1"/>
  <c r="I4" i="1" s="1"/>
  <c r="L4" i="1" s="1"/>
  <c r="F23" i="1"/>
  <c r="H23" i="1" s="1"/>
  <c r="H42" i="1" s="1"/>
  <c r="H6" i="1"/>
  <c r="F25" i="1"/>
  <c r="H25" i="1" s="1"/>
  <c r="F12" i="1"/>
  <c r="E31" i="1"/>
  <c r="H17" i="1"/>
  <c r="F36" i="1"/>
  <c r="F11" i="1"/>
  <c r="E30" i="1"/>
  <c r="E26" i="1"/>
  <c r="E18" i="1"/>
  <c r="J41" i="1"/>
  <c r="X15" i="2"/>
  <c r="X11" i="2"/>
  <c r="X12" i="2"/>
  <c r="AZ49" i="2"/>
  <c r="AZ46" i="2"/>
  <c r="T11" i="2"/>
  <c r="T12" i="2"/>
  <c r="BD47" i="2"/>
  <c r="BD48" i="2"/>
  <c r="BD49" i="2"/>
  <c r="BD45" i="2"/>
  <c r="AB45" i="2"/>
  <c r="AB46" i="2"/>
  <c r="AF48" i="2"/>
  <c r="P11" i="2"/>
  <c r="P12" i="2"/>
  <c r="BH50" i="2"/>
  <c r="K42" i="1"/>
  <c r="K44" i="1"/>
  <c r="K47" i="1"/>
  <c r="D56" i="1"/>
  <c r="K18" i="1"/>
  <c r="J18" i="1"/>
  <c r="K54" i="1"/>
  <c r="BH18" i="2"/>
  <c r="BH24" i="2" s="1"/>
  <c r="BH26" i="2" s="1"/>
  <c r="BH32" i="2" s="1"/>
  <c r="BD16" i="2"/>
  <c r="BD50" i="2"/>
  <c r="BD53" i="2"/>
  <c r="BD18" i="2"/>
  <c r="AZ47" i="2"/>
  <c r="AZ50" i="2"/>
  <c r="K45" i="1"/>
  <c r="K46" i="1"/>
  <c r="K51" i="1"/>
  <c r="K50" i="1"/>
  <c r="AB47" i="2"/>
  <c r="L19" i="1"/>
  <c r="AB49" i="2"/>
  <c r="K41" i="1"/>
  <c r="AF8" i="2"/>
  <c r="AR14" i="2"/>
  <c r="AR8" i="2"/>
  <c r="AB48" i="2"/>
  <c r="AV13" i="2"/>
  <c r="AV14" i="2"/>
  <c r="AV8" i="2"/>
  <c r="AN14" i="2"/>
  <c r="AN8" i="2"/>
  <c r="J25" i="1"/>
  <c r="J44" i="1" s="1"/>
  <c r="I17" i="1"/>
  <c r="AB8" i="2"/>
  <c r="AJ8" i="2"/>
  <c r="AJ14" i="2"/>
  <c r="AR50" i="2"/>
  <c r="AN50" i="2"/>
  <c r="AJ50" i="2"/>
  <c r="AF45" i="2"/>
  <c r="AF47" i="2"/>
  <c r="AF49" i="2"/>
  <c r="AB13" i="2"/>
  <c r="X13" i="2"/>
  <c r="AB14" i="2"/>
  <c r="X47" i="2"/>
  <c r="X48" i="2"/>
  <c r="X49" i="2"/>
  <c r="X45" i="2"/>
  <c r="P47" i="2"/>
  <c r="P48" i="2"/>
  <c r="P45" i="2"/>
  <c r="P46" i="2"/>
  <c r="L46" i="2"/>
  <c r="L45" i="2"/>
  <c r="L44" i="2"/>
  <c r="L48" i="2"/>
  <c r="L47" i="2"/>
  <c r="H48" i="2"/>
  <c r="H47" i="2"/>
  <c r="H46" i="2"/>
  <c r="H44" i="2"/>
  <c r="D11" i="2"/>
  <c r="D13" i="2"/>
  <c r="D14" i="2"/>
  <c r="D15" i="2"/>
  <c r="D44" i="2"/>
  <c r="F47" i="1"/>
  <c r="F48" i="1"/>
  <c r="F49" i="1"/>
  <c r="F50" i="1"/>
  <c r="G25" i="1"/>
  <c r="I25" i="1" s="1"/>
  <c r="G23" i="1"/>
  <c r="G42" i="1" s="1"/>
  <c r="I16" i="1"/>
  <c r="L3" i="2"/>
  <c r="T13" i="2"/>
  <c r="T15" i="2"/>
  <c r="H3" i="2"/>
  <c r="H8" i="2" s="1"/>
  <c r="H12" i="2" s="1"/>
  <c r="T14" i="2"/>
  <c r="T36" i="2"/>
  <c r="T41" i="2" s="1"/>
  <c r="T46" i="2" s="1"/>
  <c r="F13" i="1"/>
  <c r="D48" i="2"/>
  <c r="D47" i="2"/>
  <c r="D46" i="2"/>
  <c r="F7" i="1"/>
  <c r="H24" i="1" l="1"/>
  <c r="I24" i="1" s="1"/>
  <c r="I43" i="1" s="1"/>
  <c r="J23" i="1"/>
  <c r="J42" i="1" s="1"/>
  <c r="H9" i="1"/>
  <c r="I9" i="1" s="1"/>
  <c r="L9" i="1" s="1"/>
  <c r="F28" i="1"/>
  <c r="H13" i="1"/>
  <c r="F32" i="1"/>
  <c r="H11" i="1"/>
  <c r="I11" i="1" s="1"/>
  <c r="F30" i="1"/>
  <c r="F33" i="1"/>
  <c r="H14" i="1"/>
  <c r="H27" i="1"/>
  <c r="I27" i="1" s="1"/>
  <c r="F31" i="1"/>
  <c r="H12" i="1"/>
  <c r="I12" i="1" s="1"/>
  <c r="J24" i="1"/>
  <c r="J43" i="1" s="1"/>
  <c r="P16" i="2"/>
  <c r="P18" i="2" s="1"/>
  <c r="P23" i="2" s="1"/>
  <c r="P25" i="2" s="1"/>
  <c r="P31" i="2" s="1"/>
  <c r="H36" i="1"/>
  <c r="H55" i="1" s="1"/>
  <c r="J36" i="1"/>
  <c r="J55" i="1" s="1"/>
  <c r="G36" i="1"/>
  <c r="J27" i="1"/>
  <c r="J46" i="1" s="1"/>
  <c r="X16" i="2"/>
  <c r="X18" i="2" s="1"/>
  <c r="F26" i="1"/>
  <c r="H7" i="1"/>
  <c r="G34" i="1"/>
  <c r="J34" i="1"/>
  <c r="J53" i="1" s="1"/>
  <c r="H34" i="1"/>
  <c r="H53" i="1" s="1"/>
  <c r="H10" i="1"/>
  <c r="I10" i="1" s="1"/>
  <c r="F29" i="1"/>
  <c r="J35" i="1"/>
  <c r="J54" i="1" s="1"/>
  <c r="H35" i="1"/>
  <c r="G35" i="1"/>
  <c r="E37" i="1"/>
  <c r="H54" i="1"/>
  <c r="AR11" i="2"/>
  <c r="AR12" i="2"/>
  <c r="BD22" i="2"/>
  <c r="BD26" i="2" s="1"/>
  <c r="BD32" i="2" s="1"/>
  <c r="AJ12" i="2"/>
  <c r="AJ11" i="2"/>
  <c r="BD57" i="2"/>
  <c r="BD61" i="2" s="1"/>
  <c r="BD66" i="2" s="1"/>
  <c r="AB15" i="2"/>
  <c r="AB12" i="2"/>
  <c r="AB11" i="2"/>
  <c r="AF13" i="2"/>
  <c r="AF12" i="2"/>
  <c r="AF11" i="2"/>
  <c r="AN11" i="2"/>
  <c r="AN12" i="2"/>
  <c r="AB50" i="2"/>
  <c r="AV15" i="2"/>
  <c r="AV12" i="2"/>
  <c r="AV11" i="2"/>
  <c r="AV16" i="2" s="1"/>
  <c r="AV23" i="2" s="1"/>
  <c r="AV26" i="2" s="1"/>
  <c r="I23" i="1"/>
  <c r="I42" i="1" s="1"/>
  <c r="K56" i="1"/>
  <c r="L17" i="1"/>
  <c r="L16" i="1"/>
  <c r="AF15" i="2"/>
  <c r="G44" i="1"/>
  <c r="N4" i="1"/>
  <c r="H43" i="1"/>
  <c r="AJ15" i="2"/>
  <c r="AJ13" i="2"/>
  <c r="P50" i="2"/>
  <c r="AN15" i="2"/>
  <c r="AN13" i="2"/>
  <c r="L25" i="1"/>
  <c r="N25" i="1" s="1"/>
  <c r="I6" i="1"/>
  <c r="I44" i="1" s="1"/>
  <c r="H44" i="1"/>
  <c r="I14" i="1"/>
  <c r="AR13" i="2"/>
  <c r="AR15" i="2"/>
  <c r="AF50" i="2"/>
  <c r="X50" i="2"/>
  <c r="T16" i="2"/>
  <c r="T18" i="2" s="1"/>
  <c r="T23" i="2" s="1"/>
  <c r="D49" i="2"/>
  <c r="D16" i="2"/>
  <c r="L15" i="2"/>
  <c r="L8" i="2"/>
  <c r="L11" i="2" s="1"/>
  <c r="L49" i="2"/>
  <c r="H11" i="2"/>
  <c r="H15" i="2"/>
  <c r="H14" i="2"/>
  <c r="H13" i="2"/>
  <c r="L14" i="2"/>
  <c r="L13" i="2"/>
  <c r="T45" i="2"/>
  <c r="L5" i="1"/>
  <c r="H49" i="2"/>
  <c r="I8" i="1"/>
  <c r="L27" i="1" l="1"/>
  <c r="N27" i="1" s="1"/>
  <c r="X52" i="2" s="1"/>
  <c r="AR16" i="2"/>
  <c r="AR23" i="2" s="1"/>
  <c r="AR26" i="2" s="1"/>
  <c r="AR32" i="2" s="1"/>
  <c r="AB16" i="2"/>
  <c r="AB18" i="2" s="1"/>
  <c r="AB24" i="2" s="1"/>
  <c r="AB26" i="2" s="1"/>
  <c r="AB32" i="2" s="1"/>
  <c r="X23" i="2"/>
  <c r="X26" i="2" s="1"/>
  <c r="H46" i="1"/>
  <c r="AJ16" i="2"/>
  <c r="H29" i="1"/>
  <c r="H48" i="1" s="1"/>
  <c r="J29" i="1"/>
  <c r="J48" i="1" s="1"/>
  <c r="G29" i="1"/>
  <c r="H32" i="1"/>
  <c r="H51" i="1" s="1"/>
  <c r="J32" i="1"/>
  <c r="J51" i="1" s="1"/>
  <c r="G32" i="1"/>
  <c r="L10" i="1"/>
  <c r="N10" i="1" s="1"/>
  <c r="L23" i="1"/>
  <c r="N23" i="1" s="1"/>
  <c r="H51" i="2" s="1"/>
  <c r="H52" i="2" s="1"/>
  <c r="H57" i="2" s="1"/>
  <c r="H60" i="2" s="1"/>
  <c r="H65" i="2" s="1"/>
  <c r="G55" i="1"/>
  <c r="I36" i="1"/>
  <c r="J28" i="1"/>
  <c r="J47" i="1" s="1"/>
  <c r="G28" i="1"/>
  <c r="H28" i="1"/>
  <c r="H47" i="1" s="1"/>
  <c r="H31" i="1"/>
  <c r="H50" i="1" s="1"/>
  <c r="G31" i="1"/>
  <c r="J31" i="1"/>
  <c r="J50" i="1" s="1"/>
  <c r="G53" i="1"/>
  <c r="I34" i="1"/>
  <c r="J33" i="1"/>
  <c r="J52" i="1" s="1"/>
  <c r="H33" i="1"/>
  <c r="H52" i="1" s="1"/>
  <c r="G33" i="1"/>
  <c r="G26" i="1"/>
  <c r="H26" i="1"/>
  <c r="H45" i="1" s="1"/>
  <c r="J26" i="1"/>
  <c r="J30" i="1"/>
  <c r="J49" i="1" s="1"/>
  <c r="G30" i="1"/>
  <c r="H30" i="1"/>
  <c r="H49" i="1"/>
  <c r="L24" i="1"/>
  <c r="N24" i="1" s="1"/>
  <c r="L51" i="2" s="1"/>
  <c r="L52" i="2" s="1"/>
  <c r="L57" i="2" s="1"/>
  <c r="L60" i="2" s="1"/>
  <c r="L65" i="2" s="1"/>
  <c r="X53" i="2"/>
  <c r="X58" i="2" s="1"/>
  <c r="I35" i="1"/>
  <c r="I54" i="1" s="1"/>
  <c r="G54" i="1"/>
  <c r="L35" i="1"/>
  <c r="N35" i="1" s="1"/>
  <c r="AN16" i="2"/>
  <c r="AN18" i="2" s="1"/>
  <c r="AN23" i="2" s="1"/>
  <c r="AN26" i="2" s="1"/>
  <c r="AN32" i="2" s="1"/>
  <c r="AF16" i="2"/>
  <c r="AF18" i="2" s="1"/>
  <c r="AF24" i="2" s="1"/>
  <c r="AF26" i="2" s="1"/>
  <c r="AF32" i="2" s="1"/>
  <c r="N5" i="1"/>
  <c r="L28" i="2" s="1"/>
  <c r="N17" i="1"/>
  <c r="N16" i="1"/>
  <c r="AV18" i="2"/>
  <c r="AV32" i="2"/>
  <c r="K37" i="1"/>
  <c r="L12" i="1"/>
  <c r="AZ8" i="2"/>
  <c r="L11" i="1"/>
  <c r="L8" i="1"/>
  <c r="I46" i="1"/>
  <c r="N9" i="1"/>
  <c r="L14" i="1"/>
  <c r="I13" i="1"/>
  <c r="AJ18" i="2"/>
  <c r="AJ23" i="2" s="1"/>
  <c r="AJ26" i="2" s="1"/>
  <c r="AJ32" i="2" s="1"/>
  <c r="L6" i="1"/>
  <c r="H28" i="2"/>
  <c r="I7" i="1"/>
  <c r="D18" i="2"/>
  <c r="D23" i="2" s="1"/>
  <c r="D25" i="2" s="1"/>
  <c r="H16" i="2"/>
  <c r="H18" i="2" s="1"/>
  <c r="H23" i="2" s="1"/>
  <c r="L12" i="2"/>
  <c r="L16" i="2" s="1"/>
  <c r="L18" i="2" s="1"/>
  <c r="T47" i="2"/>
  <c r="T49" i="2"/>
  <c r="T48" i="2"/>
  <c r="T26" i="2"/>
  <c r="AR18" i="2" l="1"/>
  <c r="I53" i="1"/>
  <c r="L34" i="1"/>
  <c r="L43" i="1"/>
  <c r="J45" i="1"/>
  <c r="J56" i="1" s="1"/>
  <c r="J37" i="1"/>
  <c r="N42" i="1"/>
  <c r="I29" i="1"/>
  <c r="I48" i="1" s="1"/>
  <c r="L29" i="1"/>
  <c r="N29" i="1" s="1"/>
  <c r="AF52" i="2" s="1"/>
  <c r="AF53" i="2" s="1"/>
  <c r="AF59" i="2" s="1"/>
  <c r="AF61" i="2" s="1"/>
  <c r="AF66" i="2" s="1"/>
  <c r="G48" i="1"/>
  <c r="L54" i="1"/>
  <c r="G49" i="1"/>
  <c r="I30" i="1"/>
  <c r="I49" i="1" s="1"/>
  <c r="G47" i="1"/>
  <c r="I28" i="1"/>
  <c r="G51" i="1"/>
  <c r="I32" i="1"/>
  <c r="L32" i="1" s="1"/>
  <c r="N32" i="1" s="1"/>
  <c r="G50" i="1"/>
  <c r="I31" i="1"/>
  <c r="L42" i="1"/>
  <c r="G45" i="1"/>
  <c r="I26" i="1"/>
  <c r="L26" i="1" s="1"/>
  <c r="N26" i="1" s="1"/>
  <c r="T52" i="2" s="1"/>
  <c r="G52" i="1"/>
  <c r="I33" i="1"/>
  <c r="L36" i="1"/>
  <c r="I55" i="1"/>
  <c r="AZ12" i="2"/>
  <c r="AZ11" i="2"/>
  <c r="AZ13" i="2"/>
  <c r="AZ16" i="2" s="1"/>
  <c r="AZ18" i="2" s="1"/>
  <c r="AZ24" i="2" s="1"/>
  <c r="AZ26" i="2" s="1"/>
  <c r="AZ32" i="2" s="1"/>
  <c r="AZ15" i="2"/>
  <c r="N43" i="1"/>
  <c r="N12" i="1"/>
  <c r="N54" i="1"/>
  <c r="M37" i="1"/>
  <c r="L7" i="1"/>
  <c r="N7" i="1"/>
  <c r="N6" i="1"/>
  <c r="N44" i="1" s="1"/>
  <c r="L44" i="1"/>
  <c r="N8" i="1"/>
  <c r="L46" i="1"/>
  <c r="N11" i="1"/>
  <c r="L13" i="1"/>
  <c r="N14" i="1"/>
  <c r="T50" i="2"/>
  <c r="X61" i="2"/>
  <c r="X66" i="2" s="1"/>
  <c r="L23" i="2"/>
  <c r="L25" i="2" s="1"/>
  <c r="L31" i="2" s="1"/>
  <c r="H25" i="2"/>
  <c r="H31" i="2" s="1"/>
  <c r="P53" i="2"/>
  <c r="P58" i="2" s="1"/>
  <c r="P61" i="2" s="1"/>
  <c r="P66" i="2" s="1"/>
  <c r="T32" i="2"/>
  <c r="G3" i="1"/>
  <c r="F3" i="1"/>
  <c r="L30" i="1" l="1"/>
  <c r="T53" i="2"/>
  <c r="T58" i="2" s="1"/>
  <c r="T61" i="2" s="1"/>
  <c r="T66" i="2" s="1"/>
  <c r="I51" i="1"/>
  <c r="L31" i="1"/>
  <c r="I50" i="1"/>
  <c r="F22" i="1"/>
  <c r="F37" i="1" s="1"/>
  <c r="F18" i="1"/>
  <c r="G22" i="1"/>
  <c r="G37" i="1" s="1"/>
  <c r="G18" i="1"/>
  <c r="I45" i="1"/>
  <c r="L28" i="1"/>
  <c r="I47" i="1"/>
  <c r="L48" i="1"/>
  <c r="L45" i="1"/>
  <c r="N36" i="1"/>
  <c r="L55" i="1"/>
  <c r="N34" i="1"/>
  <c r="L53" i="1"/>
  <c r="N45" i="1"/>
  <c r="L33" i="1"/>
  <c r="I52" i="1"/>
  <c r="N48" i="1"/>
  <c r="H3" i="1"/>
  <c r="F41" i="1"/>
  <c r="F56" i="1" s="1"/>
  <c r="N13" i="1"/>
  <c r="L51" i="1"/>
  <c r="X31" i="2"/>
  <c r="X32" i="2" s="1"/>
  <c r="N46" i="1"/>
  <c r="N30" i="1" l="1"/>
  <c r="L49" i="1"/>
  <c r="BH52" i="2"/>
  <c r="BH53" i="2" s="1"/>
  <c r="N55" i="1"/>
  <c r="H22" i="1"/>
  <c r="H37" i="1" s="1"/>
  <c r="H18" i="1"/>
  <c r="N28" i="1"/>
  <c r="L47" i="1"/>
  <c r="N33" i="1"/>
  <c r="L52" i="1"/>
  <c r="G41" i="1"/>
  <c r="G56" i="1" s="1"/>
  <c r="N53" i="1"/>
  <c r="AZ52" i="2"/>
  <c r="AZ53" i="2" s="1"/>
  <c r="N31" i="1"/>
  <c r="L50" i="1"/>
  <c r="AR52" i="2"/>
  <c r="AR53" i="2" s="1"/>
  <c r="AR58" i="2" s="1"/>
  <c r="AR61" i="2" s="1"/>
  <c r="AR66" i="2" s="1"/>
  <c r="N51" i="1"/>
  <c r="I3" i="1"/>
  <c r="L3" i="1" s="1"/>
  <c r="AJ52" i="2" l="1"/>
  <c r="AJ53" i="2" s="1"/>
  <c r="AJ58" i="2" s="1"/>
  <c r="AJ61" i="2" s="1"/>
  <c r="AJ66" i="2" s="1"/>
  <c r="N49" i="1"/>
  <c r="AZ60" i="2"/>
  <c r="AZ62" i="2" s="1"/>
  <c r="AZ67" i="2" s="1"/>
  <c r="AN52" i="2"/>
  <c r="AN53" i="2" s="1"/>
  <c r="AN58" i="2" s="1"/>
  <c r="AN61" i="2" s="1"/>
  <c r="AN66" i="2" s="1"/>
  <c r="N50" i="1"/>
  <c r="AV52" i="2"/>
  <c r="AV53" i="2" s="1"/>
  <c r="AV58" i="2" s="1"/>
  <c r="AV61" i="2" s="1"/>
  <c r="AV66" i="2" s="1"/>
  <c r="N52" i="1"/>
  <c r="AB52" i="2"/>
  <c r="AB53" i="2" s="1"/>
  <c r="AB59" i="2" s="1"/>
  <c r="AB61" i="2" s="1"/>
  <c r="AB66" i="2" s="1"/>
  <c r="N47" i="1"/>
  <c r="L18" i="1"/>
  <c r="L22" i="1"/>
  <c r="I22" i="1"/>
  <c r="I37" i="1" s="1"/>
  <c r="I18" i="1"/>
  <c r="H41" i="1"/>
  <c r="H56" i="1" s="1"/>
  <c r="BH60" i="2"/>
  <c r="N3" i="1"/>
  <c r="N18" i="1" s="1"/>
  <c r="N22" i="1" l="1"/>
  <c r="L37" i="1"/>
  <c r="I41" i="1"/>
  <c r="I56" i="1" s="1"/>
  <c r="L41" i="1"/>
  <c r="L56" i="1" s="1"/>
  <c r="BH62" i="2"/>
  <c r="BH67" i="2" s="1"/>
  <c r="N41" i="1"/>
  <c r="N56" i="1" s="1"/>
  <c r="D28" i="2"/>
  <c r="D31" i="2" s="1"/>
  <c r="D51" i="2" l="1"/>
  <c r="D52" i="2" s="1"/>
  <c r="D57" i="2" s="1"/>
  <c r="D60" i="2" s="1"/>
  <c r="D65" i="2" s="1"/>
  <c r="N37" i="1"/>
</calcChain>
</file>

<file path=xl/sharedStrings.xml><?xml version="1.0" encoding="utf-8"?>
<sst xmlns="http://schemas.openxmlformats.org/spreadsheetml/2006/main" count="958" uniqueCount="101">
  <si>
    <t>Basic Pay</t>
  </si>
  <si>
    <t>Allowances</t>
  </si>
  <si>
    <t>Gross Pay</t>
  </si>
  <si>
    <t>NSSF (Employer)</t>
  </si>
  <si>
    <t>Total</t>
  </si>
  <si>
    <t>No.</t>
  </si>
  <si>
    <t>NSSF Tier 1 Employee</t>
  </si>
  <si>
    <t>NSSF Tier 2 Employee</t>
  </si>
  <si>
    <t>Pension (Employee)-5%</t>
  </si>
  <si>
    <t>Pension (Employer)-10%</t>
  </si>
  <si>
    <t>Limit</t>
  </si>
  <si>
    <t>Excess</t>
  </si>
  <si>
    <t>Gross pay</t>
  </si>
  <si>
    <t>NSSF Tier 1</t>
  </si>
  <si>
    <t>NSSF Tier 2</t>
  </si>
  <si>
    <t>SHIF</t>
  </si>
  <si>
    <t>Pension</t>
  </si>
  <si>
    <t>AHL</t>
  </si>
  <si>
    <t>Taxable pay</t>
  </si>
  <si>
    <t>Graduated scale rate</t>
  </si>
  <si>
    <t>0 to 24,0000</t>
  </si>
  <si>
    <t>Next 8,333</t>
  </si>
  <si>
    <t>Next 467,667</t>
  </si>
  <si>
    <t>PAYE</t>
  </si>
  <si>
    <t>Relief</t>
  </si>
  <si>
    <t>Welfare</t>
  </si>
  <si>
    <t>SACCO</t>
  </si>
  <si>
    <t>Net pay</t>
  </si>
  <si>
    <t>Less: Allowable Deductions</t>
  </si>
  <si>
    <t>Add: Allowances</t>
  </si>
  <si>
    <t>Excess Pension</t>
  </si>
  <si>
    <t>Utu Power</t>
  </si>
  <si>
    <t>School Fees</t>
  </si>
  <si>
    <t>Catering</t>
  </si>
  <si>
    <t>RECOMPUTATIONS</t>
  </si>
  <si>
    <t>Fuel Allowance</t>
  </si>
  <si>
    <t>House Allowance</t>
  </si>
  <si>
    <t>Pension (Employee)-5% of gross</t>
  </si>
  <si>
    <t>Pension (Employer)-10% of basic</t>
  </si>
  <si>
    <t>1. EMP 3866</t>
  </si>
  <si>
    <t>Acting Allowance</t>
  </si>
  <si>
    <t>2. EMP 0004</t>
  </si>
  <si>
    <t>Adjusted Taxable Pay</t>
  </si>
  <si>
    <t>3. EMP 0040</t>
  </si>
  <si>
    <t>4. EMP 0089</t>
  </si>
  <si>
    <t>Exces Pension</t>
  </si>
  <si>
    <t>UTU Power</t>
  </si>
  <si>
    <t>5. EMP 0158</t>
  </si>
  <si>
    <t>School Fee</t>
  </si>
  <si>
    <t>Next 300,000</t>
  </si>
  <si>
    <t>EMP 0204</t>
  </si>
  <si>
    <t>Member contribution on pension should be 5% on gross not basic pay</t>
  </si>
  <si>
    <t>EMP 0303</t>
  </si>
  <si>
    <t>Acting allowance not factored in SHIF</t>
  </si>
  <si>
    <t>Tax on excess pension</t>
  </si>
  <si>
    <t>EMP 0495</t>
  </si>
  <si>
    <t>Allowed pension should not exceed 30,000</t>
  </si>
  <si>
    <t>EMP 0500</t>
  </si>
  <si>
    <t>EMP 0525</t>
  </si>
  <si>
    <t xml:space="preserve">Catering </t>
  </si>
  <si>
    <t>EMP 1829</t>
  </si>
  <si>
    <t>Acting allowance not included in SHIF</t>
  </si>
  <si>
    <t>EMP 1836</t>
  </si>
  <si>
    <t>EMP 2795</t>
  </si>
  <si>
    <t>EMP 0673</t>
  </si>
  <si>
    <t>Over 800,000</t>
  </si>
  <si>
    <t>SHIF wrongly calculated</t>
  </si>
  <si>
    <t>EMP. NO.</t>
  </si>
  <si>
    <t>EMP3866</t>
  </si>
  <si>
    <t>EMP004</t>
  </si>
  <si>
    <t>EMP040</t>
  </si>
  <si>
    <t>EMP0089</t>
  </si>
  <si>
    <t>EMP0158</t>
  </si>
  <si>
    <t>EMP02024</t>
  </si>
  <si>
    <t>EMP0303</t>
  </si>
  <si>
    <t>EMP0495</t>
  </si>
  <si>
    <t>EMP0500</t>
  </si>
  <si>
    <t>EMP0525</t>
  </si>
  <si>
    <t>EMP 0547</t>
  </si>
  <si>
    <t>EMP0547</t>
  </si>
  <si>
    <t>EMP1829</t>
  </si>
  <si>
    <t>EMP1836</t>
  </si>
  <si>
    <t>EMP2795</t>
  </si>
  <si>
    <t>EMP0673</t>
  </si>
  <si>
    <t>TABLE A (KRCS PAYROLL) - What was calculated (Actuals)</t>
  </si>
  <si>
    <t>TABLE B (RECOMPUTATION) - What Ought to be (Correct position)</t>
  </si>
  <si>
    <t>TABLE C (DIFFERENCES BETWEEN A AND B) (Differences between Actual calculated and what ought to be)</t>
  </si>
  <si>
    <t>Remarks on recalculation of EMP 0158</t>
  </si>
  <si>
    <t xml:space="preserve">PAYE inclusive of Tax on excess pension </t>
  </si>
  <si>
    <t>Remarks on recalculation of EMP 0303</t>
  </si>
  <si>
    <t>Remarks on recalculation of EMP 0495</t>
  </si>
  <si>
    <t>Remarks on recalculation of EMP 0500</t>
  </si>
  <si>
    <t>Remarks on recalculation of EMP 0525</t>
  </si>
  <si>
    <t>Remarks on recalculation of EMP 0547</t>
  </si>
  <si>
    <t>Remarks on recalculation of EMP 1829</t>
  </si>
  <si>
    <t>Remarks on recalculation of EMP 1836</t>
  </si>
  <si>
    <t>Remarks on recalculation of EMP 0673</t>
  </si>
  <si>
    <t>Employee No.</t>
  </si>
  <si>
    <t>Variance in Employee Pension / Excess Pension (KES)</t>
  </si>
  <si>
    <t>Basis of variance</t>
  </si>
  <si>
    <t>5% applied to basic instead of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</si>
</sst>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\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43" fontId="2" fillId="0" borderId="0" xfId="1" applyFont="1"/>
    <xf numFmtId="43" fontId="3" fillId="0" borderId="0" xfId="1" applyFont="1"/>
    <xf numFmtId="164" fontId="3" fillId="0" borderId="0" xfId="1" applyNumberFormat="1" applyFont="1"/>
    <xf numFmtId="43" fontId="3" fillId="0" borderId="0" xfId="1" applyFont="1" applyAlignment="1">
      <alignment horizontal="center"/>
    </xf>
    <xf numFmtId="43" fontId="2" fillId="0" borderId="0" xfId="1" applyFont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3" fillId="0" borderId="2" xfId="1" applyFont="1" applyBorder="1"/>
    <xf numFmtId="9" fontId="3" fillId="0" borderId="0" xfId="1" applyNumberFormat="1" applyFont="1"/>
    <xf numFmtId="43" fontId="3" fillId="0" borderId="2" xfId="1" applyFont="1" applyBorder="1" applyAlignment="1">
      <alignment horizontal="center"/>
    </xf>
    <xf numFmtId="43" fontId="2" fillId="0" borderId="3" xfId="1" applyFont="1" applyBorder="1" applyAlignment="1">
      <alignment horizontal="center"/>
    </xf>
    <xf numFmtId="43" fontId="2" fillId="0" borderId="0" xfId="1" applyFont="1" applyBorder="1"/>
    <xf numFmtId="43" fontId="3" fillId="0" borderId="0" xfId="1" applyFont="1" applyBorder="1" applyAlignment="1">
      <alignment horizontal="center"/>
    </xf>
    <xf numFmtId="43" fontId="3" fillId="0" borderId="0" xfId="1" applyFont="1" applyFill="1"/>
    <xf numFmtId="0" fontId="3" fillId="0" borderId="0" xfId="0" applyFont="1"/>
    <xf numFmtId="43" fontId="3" fillId="0" borderId="0" xfId="0" applyNumberFormat="1" applyFont="1"/>
    <xf numFmtId="10" fontId="3" fillId="0" borderId="0" xfId="0" applyNumberFormat="1" applyFont="1"/>
    <xf numFmtId="0" fontId="2" fillId="0" borderId="0" xfId="0" applyFont="1"/>
    <xf numFmtId="43" fontId="3" fillId="0" borderId="0" xfId="1" applyFont="1" applyBorder="1"/>
    <xf numFmtId="43" fontId="2" fillId="0" borderId="4" xfId="0" applyNumberFormat="1" applyFont="1" applyBorder="1"/>
    <xf numFmtId="43" fontId="2" fillId="0" borderId="0" xfId="1" applyFont="1" applyFill="1"/>
    <xf numFmtId="43" fontId="2" fillId="0" borderId="3" xfId="1" applyFont="1" applyFill="1" applyBorder="1" applyAlignment="1">
      <alignment horizontal="center"/>
    </xf>
    <xf numFmtId="43" fontId="3" fillId="0" borderId="0" xfId="1" applyFont="1" applyFill="1" applyBorder="1"/>
    <xf numFmtId="43" fontId="2" fillId="0" borderId="4" xfId="1" applyFont="1" applyBorder="1"/>
    <xf numFmtId="164" fontId="3" fillId="0" borderId="0" xfId="1" applyNumberFormat="1" applyFont="1" applyFill="1"/>
    <xf numFmtId="165" fontId="3" fillId="0" borderId="0" xfId="0" applyNumberFormat="1" applyFon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43" fontId="2" fillId="0" borderId="0" xfId="1" applyFont="1" applyAlignment="1">
      <alignment horizontal="center"/>
    </xf>
    <xf numFmtId="4" fontId="3" fillId="0" borderId="0" xfId="0" applyNumberFormat="1" applyFont="1"/>
    <xf numFmtId="4" fontId="2" fillId="0" borderId="0" xfId="0" applyNumberFormat="1" applyFont="1"/>
    <xf numFmtId="165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43" fontId="2" fillId="0" borderId="0" xfId="0" applyNumberFormat="1" applyFont="1"/>
    <xf numFmtId="43" fontId="3" fillId="0" borderId="2" xfId="1" applyFont="1" applyFill="1" applyBorder="1"/>
    <xf numFmtId="43" fontId="3" fillId="0" borderId="4" xfId="1" applyFont="1" applyBorder="1"/>
    <xf numFmtId="43" fontId="3" fillId="2" borderId="0" xfId="1" applyFont="1" applyFill="1"/>
    <xf numFmtId="43" fontId="3" fillId="0" borderId="2" xfId="0" applyNumberFormat="1" applyFont="1" applyBorder="1"/>
    <xf numFmtId="43" fontId="2" fillId="0" borderId="0" xfId="1" applyFont="1" applyBorder="1" applyAlignment="1">
      <alignment horizontal="center"/>
    </xf>
    <xf numFmtId="43" fontId="2" fillId="0" borderId="0" xfId="1" applyFont="1" applyFill="1" applyBorder="1"/>
    <xf numFmtId="165" fontId="2" fillId="0" borderId="0" xfId="1" applyNumberFormat="1" applyFont="1" applyBorder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43" fontId="2" fillId="0" borderId="0" xfId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165" fontId="3" fillId="0" borderId="0" xfId="1" applyNumberFormat="1" applyFont="1" applyFill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2" fillId="0" borderId="4" xfId="1" applyFont="1" applyFill="1" applyBorder="1" applyAlignment="1">
      <alignment horizontal="center"/>
    </xf>
    <xf numFmtId="43" fontId="2" fillId="0" borderId="3" xfId="1" applyFont="1" applyBorder="1"/>
    <xf numFmtId="43" fontId="4" fillId="0" borderId="3" xfId="1" applyFont="1" applyBorder="1"/>
    <xf numFmtId="9" fontId="3" fillId="0" borderId="0" xfId="0" applyNumberFormat="1" applyFont="1"/>
    <xf numFmtId="0" fontId="0" fillId="0" borderId="0" xfId="0" applyAlignment="1">
      <alignment shrinkToFit="1"/>
    </xf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Comma" xfId="1" builtinId="3"/>
    <cellStyle name="Normal" xfId="0" builtinId="0"/>
  </cellStyles>
  <dxfs count="6">
    <dxf>
      <alignment horizontal="general" vertical="top" textRotation="0" wrapText="0" indent="0" justifyLastLine="0" shrinkToFit="0" readingOrder="0"/>
    </dxf>
    <dxf>
      <numFmt numFmtId="4" formatCode="#,##0.0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DE341-A783-42D3-92A3-894D8D6E8AC4}" name="Table1" displayName="Table1" ref="A1:D11" totalsRowShown="0" headerRowDxfId="5" dataDxfId="4">
  <autoFilter ref="A1:D11" xr:uid="{2CCDE341-A783-42D3-92A3-894D8D6E8AC4}"/>
  <tableColumns count="4">
    <tableColumn id="1" xr3:uid="{F4B84F7D-7A94-4F84-B466-2AE77D6FC273}" name="No." dataDxfId="3"/>
    <tableColumn id="2" xr3:uid="{CB09E662-BFD1-4C31-9A0D-E1C26DA72E76}" name="Employee No." dataDxfId="2"/>
    <tableColumn id="3" xr3:uid="{5BF4A385-C40D-47D1-8692-C877DDBBEF37}" name="Variance in Employee Pension / Excess Pension (KES)" dataDxfId="1"/>
    <tableColumn id="4" xr3:uid="{B7EE85FA-FF7E-4E61-B6B3-A3F5E10FA0C1}" name="Basis of varianc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5DDA-AAB3-4710-BA21-E70ABE00E607}">
  <dimension ref="A1"/>
  <sheetViews>
    <sheetView workbookViewId="0"/>
  </sheetViews>
  <sheetFormatPr defaultRowHeight="14.5" x14ac:dyDescent="0.35"/>
  <cols>
    <col min="1" max="16384" width="8.7265625" style="5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73FB-83E4-4705-9946-4748C2418C69}">
  <dimension ref="B1:BI71"/>
  <sheetViews>
    <sheetView topLeftCell="A56" workbookViewId="0">
      <selection sqref="A1:BH72"/>
    </sheetView>
  </sheetViews>
  <sheetFormatPr defaultRowHeight="13" x14ac:dyDescent="0.3"/>
  <cols>
    <col min="1" max="1" width="1.6328125" style="15" customWidth="1"/>
    <col min="2" max="2" width="14.7265625" style="15" customWidth="1"/>
    <col min="3" max="3" width="6.453125" style="15" bestFit="1" customWidth="1"/>
    <col min="4" max="4" width="10.26953125" style="15" bestFit="1" customWidth="1"/>
    <col min="5" max="5" width="0.81640625" style="15" customWidth="1"/>
    <col min="6" max="6" width="14.36328125" style="15" customWidth="1"/>
    <col min="7" max="7" width="6.453125" style="15" bestFit="1" customWidth="1"/>
    <col min="8" max="8" width="10.26953125" style="15" bestFit="1" customWidth="1"/>
    <col min="9" max="9" width="0.81640625" style="15" customWidth="1"/>
    <col min="10" max="10" width="14.453125" style="15" customWidth="1"/>
    <col min="11" max="11" width="6.453125" style="15" bestFit="1" customWidth="1"/>
    <col min="12" max="12" width="10.26953125" style="15" bestFit="1" customWidth="1"/>
    <col min="13" max="13" width="0.81640625" style="15" customWidth="1"/>
    <col min="14" max="14" width="13.81640625" style="15" customWidth="1"/>
    <col min="15" max="15" width="8.7265625" style="15" customWidth="1"/>
    <col min="16" max="16" width="10.26953125" style="15" bestFit="1" customWidth="1"/>
    <col min="17" max="17" width="0.81640625" style="15" customWidth="1"/>
    <col min="18" max="18" width="13.6328125" style="15" customWidth="1"/>
    <col min="19" max="19" width="8.7265625" style="15"/>
    <col min="20" max="20" width="10.90625" style="15" bestFit="1" customWidth="1"/>
    <col min="21" max="21" width="0.81640625" style="15" customWidth="1"/>
    <col min="22" max="22" width="12.453125" style="15" customWidth="1"/>
    <col min="23" max="23" width="8.7265625" style="15"/>
    <col min="24" max="24" width="10.90625" style="15" bestFit="1" customWidth="1"/>
    <col min="25" max="25" width="0.81640625" style="15" customWidth="1"/>
    <col min="26" max="26" width="13.6328125" style="15" customWidth="1"/>
    <col min="27" max="27" width="8.7265625" style="15"/>
    <col min="28" max="28" width="11.6328125" style="15" bestFit="1" customWidth="1"/>
    <col min="29" max="29" width="0.81640625" style="15" customWidth="1"/>
    <col min="30" max="30" width="13.7265625" style="15" customWidth="1"/>
    <col min="31" max="31" width="8.7265625" style="15"/>
    <col min="32" max="32" width="10.90625" style="15" bestFit="1" customWidth="1"/>
    <col min="33" max="33" width="0.81640625" style="2" customWidth="1"/>
    <col min="34" max="34" width="16.54296875" style="2" customWidth="1"/>
    <col min="35" max="35" width="10" style="15" bestFit="1" customWidth="1"/>
    <col min="36" max="36" width="10.90625" style="15" bestFit="1" customWidth="1"/>
    <col min="37" max="37" width="0.81640625" style="15" customWidth="1"/>
    <col min="38" max="38" width="16.6328125" style="15" customWidth="1"/>
    <col min="39" max="39" width="8.7265625" style="15"/>
    <col min="40" max="40" width="10.90625" style="15" bestFit="1" customWidth="1"/>
    <col min="41" max="41" width="0.81640625" style="15" customWidth="1"/>
    <col min="42" max="42" width="14.1796875" style="15" customWidth="1"/>
    <col min="43" max="43" width="10" style="15" bestFit="1" customWidth="1"/>
    <col min="44" max="44" width="10.90625" style="15" bestFit="1" customWidth="1"/>
    <col min="45" max="45" width="0.81640625" style="15" customWidth="1"/>
    <col min="46" max="46" width="13.7265625" style="15" customWidth="1"/>
    <col min="47" max="47" width="8.7265625" style="15"/>
    <col min="48" max="48" width="10.90625" style="15" bestFit="1" customWidth="1"/>
    <col min="49" max="49" width="0.81640625" style="15" customWidth="1"/>
    <col min="50" max="50" width="14.08984375" style="2" customWidth="1"/>
    <col min="51" max="51" width="8.7265625" style="15"/>
    <col min="52" max="52" width="10.90625" style="15" bestFit="1" customWidth="1"/>
    <col min="53" max="53" width="0.81640625" style="15" customWidth="1"/>
    <col min="54" max="54" width="13.90625" style="15" customWidth="1"/>
    <col min="55" max="55" width="8.7265625" style="15"/>
    <col min="56" max="56" width="10.90625" style="15" bestFit="1" customWidth="1"/>
    <col min="57" max="57" width="0.81640625" style="15" customWidth="1"/>
    <col min="58" max="58" width="14.1796875" style="15" customWidth="1"/>
    <col min="59" max="59" width="8.7265625" style="15"/>
    <col min="60" max="60" width="10.90625" style="15" bestFit="1" customWidth="1"/>
    <col min="61" max="61" width="10.26953125" style="15" bestFit="1" customWidth="1"/>
    <col min="62" max="16384" width="8.7265625" style="15"/>
  </cols>
  <sheetData>
    <row r="1" spans="2:61" s="18" customFormat="1" x14ac:dyDescent="0.3">
      <c r="B1" s="18" t="s">
        <v>39</v>
      </c>
      <c r="F1" s="18" t="s">
        <v>41</v>
      </c>
      <c r="J1" s="18" t="s">
        <v>43</v>
      </c>
      <c r="N1" s="18" t="s">
        <v>44</v>
      </c>
      <c r="R1" s="18" t="s">
        <v>47</v>
      </c>
      <c r="V1" s="18" t="s">
        <v>50</v>
      </c>
      <c r="Z1" s="18" t="s">
        <v>52</v>
      </c>
      <c r="AD1" s="18" t="s">
        <v>55</v>
      </c>
      <c r="AG1" s="1"/>
      <c r="AH1" s="1" t="s">
        <v>57</v>
      </c>
      <c r="AL1" s="18" t="s">
        <v>58</v>
      </c>
      <c r="AP1" s="18" t="s">
        <v>78</v>
      </c>
      <c r="AT1" s="18" t="s">
        <v>60</v>
      </c>
      <c r="AX1" s="1" t="s">
        <v>62</v>
      </c>
      <c r="BB1" s="18" t="s">
        <v>63</v>
      </c>
      <c r="BF1" s="18" t="s">
        <v>64</v>
      </c>
    </row>
    <row r="2" spans="2:61" s="18" customFormat="1" x14ac:dyDescent="0.3">
      <c r="AG2" s="1"/>
      <c r="AH2" s="1"/>
      <c r="AX2" s="1"/>
    </row>
    <row r="3" spans="2:61" x14ac:dyDescent="0.3">
      <c r="B3" s="15" t="s">
        <v>12</v>
      </c>
      <c r="C3" s="2"/>
      <c r="D3" s="2">
        <v>125170</v>
      </c>
      <c r="F3" s="2" t="s">
        <v>12</v>
      </c>
      <c r="G3" s="2"/>
      <c r="H3" s="2">
        <f>'Pension Computation'!F4</f>
        <v>186340</v>
      </c>
      <c r="J3" s="2" t="s">
        <v>12</v>
      </c>
      <c r="K3" s="2"/>
      <c r="L3" s="2">
        <f>'Pension Computation'!F5</f>
        <v>290950</v>
      </c>
      <c r="N3" s="2" t="s">
        <v>12</v>
      </c>
      <c r="O3" s="2"/>
      <c r="P3" s="2">
        <v>64790</v>
      </c>
      <c r="R3" s="15" t="s">
        <v>0</v>
      </c>
      <c r="S3" s="2"/>
      <c r="T3" s="2">
        <f>'Pension Computation'!D7</f>
        <v>333243.90000000002</v>
      </c>
      <c r="V3" s="15" t="s">
        <v>0</v>
      </c>
      <c r="W3" s="2"/>
      <c r="X3" s="2">
        <v>220000</v>
      </c>
      <c r="Z3" s="15" t="s">
        <v>0</v>
      </c>
      <c r="AA3" s="2"/>
      <c r="AB3" s="2">
        <f>'Pension Computation'!D9</f>
        <v>426250</v>
      </c>
      <c r="AD3" s="15" t="s">
        <v>0</v>
      </c>
      <c r="AE3" s="2"/>
      <c r="AF3" s="2">
        <f>'Pension Computation'!D10</f>
        <v>580000</v>
      </c>
      <c r="AH3" s="15" t="s">
        <v>0</v>
      </c>
      <c r="AI3" s="2"/>
      <c r="AJ3" s="2">
        <f>'Pension Computation'!D11</f>
        <v>255750</v>
      </c>
      <c r="AL3" s="15" t="s">
        <v>0</v>
      </c>
      <c r="AM3" s="2"/>
      <c r="AN3" s="2">
        <f>'Pension Computation'!D12</f>
        <v>426250</v>
      </c>
      <c r="AP3" s="15" t="s">
        <v>0</v>
      </c>
      <c r="AQ3" s="2"/>
      <c r="AR3" s="2">
        <f>'Pension Computation'!D13</f>
        <v>350000</v>
      </c>
      <c r="AT3" s="15" t="s">
        <v>0</v>
      </c>
      <c r="AU3" s="2"/>
      <c r="AV3" s="2">
        <f>'Pension Computation'!D14</f>
        <v>333243.90000000002</v>
      </c>
      <c r="AX3" s="15" t="s">
        <v>0</v>
      </c>
      <c r="AY3" s="2"/>
      <c r="AZ3" s="2">
        <v>727750</v>
      </c>
      <c r="BB3" s="15" t="s">
        <v>0</v>
      </c>
      <c r="BC3" s="2"/>
      <c r="BD3" s="2">
        <v>38500</v>
      </c>
      <c r="BF3" s="15" t="s">
        <v>0</v>
      </c>
      <c r="BG3" s="2"/>
      <c r="BH3" s="2">
        <v>693564</v>
      </c>
    </row>
    <row r="4" spans="2:61" x14ac:dyDescent="0.3">
      <c r="B4" s="18" t="s">
        <v>29</v>
      </c>
      <c r="C4" s="2"/>
      <c r="D4" s="19"/>
      <c r="F4" s="18" t="s">
        <v>29</v>
      </c>
      <c r="G4" s="2"/>
      <c r="H4" s="19"/>
      <c r="J4" s="18" t="s">
        <v>29</v>
      </c>
      <c r="K4" s="2"/>
      <c r="L4" s="19"/>
      <c r="N4" s="18" t="s">
        <v>29</v>
      </c>
      <c r="O4" s="2"/>
      <c r="P4" s="19"/>
      <c r="R4" s="18" t="s">
        <v>29</v>
      </c>
      <c r="S4" s="2"/>
      <c r="T4" s="19"/>
      <c r="V4" s="18" t="s">
        <v>29</v>
      </c>
      <c r="W4" s="2"/>
      <c r="X4" s="19"/>
      <c r="Z4" s="18" t="s">
        <v>29</v>
      </c>
      <c r="AA4" s="2"/>
      <c r="AB4" s="19"/>
      <c r="AD4" s="18" t="s">
        <v>29</v>
      </c>
      <c r="AE4" s="2"/>
      <c r="AF4" s="19"/>
      <c r="AH4" s="18" t="s">
        <v>29</v>
      </c>
      <c r="AI4" s="2"/>
      <c r="AJ4" s="19"/>
      <c r="AL4" s="18" t="s">
        <v>29</v>
      </c>
      <c r="AM4" s="2"/>
      <c r="AN4" s="19"/>
      <c r="AP4" s="18" t="s">
        <v>29</v>
      </c>
      <c r="AQ4" s="2"/>
      <c r="AR4" s="19"/>
      <c r="AT4" s="18" t="s">
        <v>29</v>
      </c>
      <c r="AU4" s="2"/>
      <c r="AV4" s="19"/>
      <c r="AX4" s="18" t="s">
        <v>29</v>
      </c>
      <c r="AY4" s="2"/>
      <c r="AZ4" s="19"/>
      <c r="BB4" s="18" t="s">
        <v>29</v>
      </c>
      <c r="BC4" s="2"/>
      <c r="BD4" s="19"/>
      <c r="BF4" s="18" t="s">
        <v>29</v>
      </c>
      <c r="BG4" s="2"/>
      <c r="BH4" s="19"/>
    </row>
    <row r="5" spans="2:61" x14ac:dyDescent="0.3">
      <c r="B5" s="15" t="s">
        <v>35</v>
      </c>
      <c r="D5" s="26">
        <v>0</v>
      </c>
      <c r="F5" s="15" t="s">
        <v>35</v>
      </c>
      <c r="H5" s="26">
        <v>0</v>
      </c>
      <c r="J5" s="15" t="s">
        <v>35</v>
      </c>
      <c r="L5" s="26">
        <v>0</v>
      </c>
      <c r="N5" s="15" t="s">
        <v>35</v>
      </c>
      <c r="O5" s="2"/>
      <c r="P5" s="26">
        <v>0</v>
      </c>
      <c r="R5" s="15" t="s">
        <v>35</v>
      </c>
      <c r="S5" s="2"/>
      <c r="T5" s="19">
        <v>15000</v>
      </c>
      <c r="V5" s="15" t="s">
        <v>35</v>
      </c>
      <c r="X5" s="26">
        <v>0</v>
      </c>
      <c r="Z5" s="15" t="s">
        <v>35</v>
      </c>
      <c r="AB5" s="13">
        <v>20000</v>
      </c>
      <c r="AD5" s="15" t="s">
        <v>35</v>
      </c>
      <c r="AE5" s="2"/>
      <c r="AF5" s="19">
        <v>20000</v>
      </c>
      <c r="AH5" s="15" t="s">
        <v>35</v>
      </c>
      <c r="AI5" s="2"/>
      <c r="AJ5" s="19">
        <v>15000</v>
      </c>
      <c r="AL5" s="15" t="s">
        <v>35</v>
      </c>
      <c r="AM5" s="2"/>
      <c r="AN5" s="19">
        <v>20000</v>
      </c>
      <c r="AP5" s="15" t="s">
        <v>35</v>
      </c>
      <c r="AQ5" s="2"/>
      <c r="AR5" s="19">
        <v>15000</v>
      </c>
      <c r="AT5" s="15" t="s">
        <v>35</v>
      </c>
      <c r="AU5" s="2"/>
      <c r="AV5" s="19">
        <v>15000</v>
      </c>
      <c r="AX5" s="15" t="s">
        <v>35</v>
      </c>
      <c r="AY5" s="2"/>
      <c r="AZ5" s="19">
        <v>50000</v>
      </c>
      <c r="BB5" s="15" t="s">
        <v>35</v>
      </c>
      <c r="BC5" s="2"/>
      <c r="BD5" s="19">
        <v>0</v>
      </c>
      <c r="BF5" s="15" t="s">
        <v>35</v>
      </c>
      <c r="BG5" s="2"/>
      <c r="BH5" s="19">
        <v>20000</v>
      </c>
    </row>
    <row r="6" spans="2:61" x14ac:dyDescent="0.3">
      <c r="B6" s="15" t="s">
        <v>36</v>
      </c>
      <c r="D6" s="26">
        <v>0</v>
      </c>
      <c r="F6" s="15" t="s">
        <v>36</v>
      </c>
      <c r="H6" s="26">
        <v>0</v>
      </c>
      <c r="J6" s="15" t="s">
        <v>36</v>
      </c>
      <c r="L6" s="26">
        <v>0</v>
      </c>
      <c r="N6" s="15" t="s">
        <v>36</v>
      </c>
      <c r="O6" s="2"/>
      <c r="P6" s="26">
        <v>0</v>
      </c>
      <c r="R6" s="15" t="s">
        <v>36</v>
      </c>
      <c r="S6" s="2"/>
      <c r="T6" s="2">
        <v>33324</v>
      </c>
      <c r="V6" s="15" t="s">
        <v>36</v>
      </c>
      <c r="X6" s="26">
        <v>0</v>
      </c>
      <c r="Z6" s="15" t="s">
        <v>36</v>
      </c>
      <c r="AB6" s="4">
        <v>42625</v>
      </c>
      <c r="AD6" s="15" t="s">
        <v>36</v>
      </c>
      <c r="AE6" s="2"/>
      <c r="AF6" s="2">
        <v>58000</v>
      </c>
      <c r="AH6" s="15" t="s">
        <v>36</v>
      </c>
      <c r="AI6" s="2"/>
      <c r="AJ6" s="2">
        <v>25575</v>
      </c>
      <c r="AL6" s="15" t="s">
        <v>36</v>
      </c>
      <c r="AM6" s="2"/>
      <c r="AN6" s="19">
        <v>42625</v>
      </c>
      <c r="AP6" s="15" t="s">
        <v>36</v>
      </c>
      <c r="AQ6" s="2"/>
      <c r="AR6" s="2">
        <v>35000</v>
      </c>
      <c r="AT6" s="15" t="s">
        <v>36</v>
      </c>
      <c r="AU6" s="2"/>
      <c r="AV6" s="2">
        <v>33324</v>
      </c>
      <c r="AX6" s="15" t="s">
        <v>36</v>
      </c>
      <c r="AY6" s="2"/>
      <c r="AZ6" s="2">
        <v>72775</v>
      </c>
      <c r="BB6" s="15" t="s">
        <v>36</v>
      </c>
      <c r="BC6" s="2"/>
      <c r="BD6" s="2">
        <v>0</v>
      </c>
      <c r="BF6" s="15" t="s">
        <v>36</v>
      </c>
      <c r="BG6" s="2"/>
      <c r="BH6" s="2">
        <v>69356</v>
      </c>
    </row>
    <row r="7" spans="2:61" x14ac:dyDescent="0.3">
      <c r="B7" s="15" t="s">
        <v>40</v>
      </c>
      <c r="D7" s="26">
        <v>0</v>
      </c>
      <c r="F7" s="15" t="s">
        <v>40</v>
      </c>
      <c r="H7" s="27">
        <v>0</v>
      </c>
      <c r="J7" s="15" t="s">
        <v>40</v>
      </c>
      <c r="L7" s="27">
        <v>0</v>
      </c>
      <c r="N7" s="15" t="s">
        <v>40</v>
      </c>
      <c r="P7" s="27">
        <v>0</v>
      </c>
      <c r="R7" s="15" t="s">
        <v>40</v>
      </c>
      <c r="T7" s="27">
        <v>0</v>
      </c>
      <c r="V7" s="15" t="s">
        <v>40</v>
      </c>
      <c r="X7" s="27">
        <v>0</v>
      </c>
      <c r="Z7" s="15" t="s">
        <v>40</v>
      </c>
      <c r="AB7" s="10">
        <v>194170</v>
      </c>
      <c r="AD7" s="15" t="s">
        <v>40</v>
      </c>
      <c r="AE7" s="2"/>
      <c r="AF7" s="8">
        <v>0</v>
      </c>
      <c r="AH7" s="15" t="s">
        <v>40</v>
      </c>
      <c r="AJ7" s="8">
        <v>0</v>
      </c>
      <c r="AL7" s="15" t="s">
        <v>40</v>
      </c>
      <c r="AN7" s="8">
        <v>0</v>
      </c>
      <c r="AP7" s="15" t="s">
        <v>40</v>
      </c>
      <c r="AT7" s="15" t="s">
        <v>40</v>
      </c>
      <c r="AV7" s="2">
        <v>124540</v>
      </c>
      <c r="AX7" s="15" t="s">
        <v>40</v>
      </c>
      <c r="AZ7" s="2">
        <v>0</v>
      </c>
      <c r="BB7" s="15" t="s">
        <v>40</v>
      </c>
      <c r="BD7" s="2">
        <v>0</v>
      </c>
      <c r="BF7" s="15" t="s">
        <v>40</v>
      </c>
      <c r="BH7" s="2">
        <v>0</v>
      </c>
    </row>
    <row r="8" spans="2:61" x14ac:dyDescent="0.3">
      <c r="B8" s="15" t="s">
        <v>2</v>
      </c>
      <c r="D8" s="20">
        <f>SUM(D3:D7)</f>
        <v>125170</v>
      </c>
      <c r="F8" s="15" t="s">
        <v>2</v>
      </c>
      <c r="G8" s="2"/>
      <c r="H8" s="12">
        <f>SUM(H3:H7)</f>
        <v>186340</v>
      </c>
      <c r="J8" s="15" t="s">
        <v>2</v>
      </c>
      <c r="K8" s="2"/>
      <c r="L8" s="12">
        <f>SUM(L3:L7)</f>
        <v>290950</v>
      </c>
      <c r="N8" s="15" t="s">
        <v>2</v>
      </c>
      <c r="P8" s="12">
        <f>SUM(P3:P7)</f>
        <v>64790</v>
      </c>
      <c r="R8" s="15" t="s">
        <v>2</v>
      </c>
      <c r="T8" s="20">
        <f>SUM(T3:T7)</f>
        <v>381567.9</v>
      </c>
      <c r="V8" s="15" t="s">
        <v>2</v>
      </c>
      <c r="X8" s="20">
        <f>SUM(X3:X7)</f>
        <v>220000</v>
      </c>
      <c r="Z8" s="15" t="s">
        <v>2</v>
      </c>
      <c r="AB8" s="20">
        <f>SUM(AB3:AB7)</f>
        <v>683045</v>
      </c>
      <c r="AD8" s="18" t="s">
        <v>2</v>
      </c>
      <c r="AE8" s="2"/>
      <c r="AF8" s="21">
        <f>SUM(AF3:AF7)</f>
        <v>658000</v>
      </c>
      <c r="AH8" s="18" t="s">
        <v>2</v>
      </c>
      <c r="AJ8" s="33">
        <f>SUM(AJ3:AJ7)</f>
        <v>296325</v>
      </c>
      <c r="AL8" s="18" t="s">
        <v>2</v>
      </c>
      <c r="AN8" s="33">
        <f>SUM(AN3:AN7)</f>
        <v>488875</v>
      </c>
      <c r="AP8" s="18" t="s">
        <v>2</v>
      </c>
      <c r="AR8" s="20">
        <f>SUM(AR3:AR7)</f>
        <v>400000</v>
      </c>
      <c r="AT8" s="18" t="s">
        <v>2</v>
      </c>
      <c r="AV8" s="20">
        <f>SUM(AV3:AV7)</f>
        <v>506107.9</v>
      </c>
      <c r="AX8" s="18" t="s">
        <v>2</v>
      </c>
      <c r="AZ8" s="20">
        <f>SUM(AZ3:AZ7)</f>
        <v>850525</v>
      </c>
      <c r="BB8" s="18" t="s">
        <v>2</v>
      </c>
      <c r="BD8" s="20">
        <f>SUM(BD3:BD7)</f>
        <v>38500</v>
      </c>
      <c r="BF8" s="18" t="s">
        <v>2</v>
      </c>
      <c r="BH8" s="20">
        <f>SUM(BH3:BH7)</f>
        <v>782920</v>
      </c>
    </row>
    <row r="9" spans="2:61" x14ac:dyDescent="0.3">
      <c r="F9" s="2"/>
      <c r="G9" s="2"/>
      <c r="H9" s="2"/>
      <c r="AX9" s="15"/>
    </row>
    <row r="10" spans="2:61" x14ac:dyDescent="0.3">
      <c r="B10" s="18" t="s">
        <v>28</v>
      </c>
      <c r="C10" s="2"/>
      <c r="D10" s="2"/>
      <c r="F10" s="1" t="s">
        <v>28</v>
      </c>
      <c r="G10" s="2"/>
      <c r="H10" s="2"/>
      <c r="J10" s="1" t="s">
        <v>28</v>
      </c>
      <c r="K10" s="2"/>
      <c r="L10" s="2"/>
      <c r="N10" s="1" t="s">
        <v>28</v>
      </c>
      <c r="O10" s="2"/>
      <c r="P10" s="2"/>
      <c r="R10" s="1" t="s">
        <v>28</v>
      </c>
      <c r="S10" s="2"/>
      <c r="T10" s="14"/>
      <c r="V10" s="18" t="s">
        <v>28</v>
      </c>
      <c r="W10" s="2"/>
      <c r="X10" s="2"/>
      <c r="Z10" s="18" t="s">
        <v>28</v>
      </c>
      <c r="AA10" s="2"/>
      <c r="AB10" s="2"/>
      <c r="AD10" s="18" t="s">
        <v>28</v>
      </c>
      <c r="AH10" s="18" t="s">
        <v>28</v>
      </c>
      <c r="AI10" s="2"/>
      <c r="AJ10" s="2"/>
      <c r="AL10" s="18" t="s">
        <v>28</v>
      </c>
      <c r="AM10" s="2"/>
      <c r="AN10" s="2"/>
      <c r="AP10" s="18" t="s">
        <v>28</v>
      </c>
      <c r="AQ10" s="2"/>
      <c r="AR10" s="2"/>
      <c r="AT10" s="18" t="s">
        <v>28</v>
      </c>
      <c r="AU10" s="2"/>
      <c r="AV10" s="2"/>
      <c r="AX10" s="18" t="s">
        <v>28</v>
      </c>
      <c r="AY10" s="2"/>
      <c r="AZ10" s="2"/>
      <c r="BB10" s="18" t="s">
        <v>28</v>
      </c>
      <c r="BC10" s="2"/>
      <c r="BD10" s="2"/>
      <c r="BF10" s="18" t="s">
        <v>28</v>
      </c>
      <c r="BG10" s="2"/>
      <c r="BH10" s="2"/>
    </row>
    <row r="11" spans="2:61" x14ac:dyDescent="0.3">
      <c r="B11" s="15" t="s">
        <v>13</v>
      </c>
      <c r="C11" s="2"/>
      <c r="D11" s="2">
        <f>-IF(D8&gt;9000,9000*6%,D8*6%)</f>
        <v>-540</v>
      </c>
      <c r="F11" s="2" t="s">
        <v>13</v>
      </c>
      <c r="G11" s="2"/>
      <c r="H11" s="2">
        <f>-IF(H8&gt;9000,9000*6%,H8*6%)</f>
        <v>-540</v>
      </c>
      <c r="J11" s="2" t="s">
        <v>13</v>
      </c>
      <c r="K11" s="2"/>
      <c r="L11" s="2">
        <f>-IF(L8&gt;9000,9000*6%,L8*6%)</f>
        <v>-540</v>
      </c>
      <c r="N11" s="2" t="s">
        <v>13</v>
      </c>
      <c r="O11" s="2"/>
      <c r="P11" s="2">
        <f>-IF(P8&gt;9000,9000*6%,P8*6%)</f>
        <v>-540</v>
      </c>
      <c r="R11" s="15" t="s">
        <v>13</v>
      </c>
      <c r="S11" s="2"/>
      <c r="T11" s="14">
        <f>-IF(T8&gt;9000,9000*6%,T8*6%)</f>
        <v>-540</v>
      </c>
      <c r="V11" s="15" t="s">
        <v>13</v>
      </c>
      <c r="W11" s="2"/>
      <c r="X11" s="2">
        <f>-IF(X8&gt;9000,9000*6%,X8*6%)</f>
        <v>-540</v>
      </c>
      <c r="Z11" s="2" t="s">
        <v>13</v>
      </c>
      <c r="AA11" s="2"/>
      <c r="AB11" s="14">
        <f>-IF(AB8&gt;9000,9000*6%,AB8*6%)</f>
        <v>-540</v>
      </c>
      <c r="AD11" s="15" t="s">
        <v>13</v>
      </c>
      <c r="AF11" s="14">
        <f>-IF(AF8&gt;9000,9000*6%,AF8*6%)</f>
        <v>-540</v>
      </c>
      <c r="AH11" s="15" t="s">
        <v>13</v>
      </c>
      <c r="AI11" s="2"/>
      <c r="AJ11" s="2">
        <f>-IF(AJ8&gt;9000,9000*6%,AJ8*6%)</f>
        <v>-540</v>
      </c>
      <c r="AL11" s="15" t="s">
        <v>13</v>
      </c>
      <c r="AM11" s="2"/>
      <c r="AN11" s="2">
        <f>-IF(AN8&gt;9000,9000*6%,AN8*6%)</f>
        <v>-540</v>
      </c>
      <c r="AP11" s="15" t="s">
        <v>13</v>
      </c>
      <c r="AQ11" s="2"/>
      <c r="AR11" s="2">
        <f>-IF(AR8&gt;9000,9000*6%,AR8*6%)</f>
        <v>-540</v>
      </c>
      <c r="AT11" s="15" t="s">
        <v>13</v>
      </c>
      <c r="AU11" s="2"/>
      <c r="AV11" s="2">
        <f>-IF(AV8&gt;9000,9000*6%,AV8*6%)</f>
        <v>-540</v>
      </c>
      <c r="AX11" s="15" t="s">
        <v>13</v>
      </c>
      <c r="AY11" s="2"/>
      <c r="AZ11" s="2">
        <f>-IF(AZ8&gt;9000,9000*6%,AZ8*6%)</f>
        <v>-540</v>
      </c>
      <c r="BB11" s="15" t="s">
        <v>13</v>
      </c>
      <c r="BC11" s="2"/>
      <c r="BD11" s="2">
        <f>-IF(BD8&gt;9000,9000*6%,BD8*6%)</f>
        <v>-540</v>
      </c>
      <c r="BF11" s="15" t="s">
        <v>13</v>
      </c>
      <c r="BG11" s="2"/>
      <c r="BH11" s="2">
        <f>-IF(BH8&gt;9000,9000*6%,BH8*6%)</f>
        <v>-540</v>
      </c>
    </row>
    <row r="12" spans="2:61" x14ac:dyDescent="0.3">
      <c r="B12" s="15" t="s">
        <v>14</v>
      </c>
      <c r="C12" s="2"/>
      <c r="D12" s="2">
        <f>-IF(D8&gt;99000,99000*6%,D8*6%-540)</f>
        <v>-5940</v>
      </c>
      <c r="F12" s="2" t="s">
        <v>14</v>
      </c>
      <c r="G12" s="2"/>
      <c r="H12" s="2">
        <f>-IF(H8&gt;99000,99000*6%,H8*6%-540)</f>
        <v>-5940</v>
      </c>
      <c r="J12" s="2" t="s">
        <v>14</v>
      </c>
      <c r="K12" s="2"/>
      <c r="L12" s="2">
        <f>-IF(L8&gt;99000,99000*6%,L8*6%-540)</f>
        <v>-5940</v>
      </c>
      <c r="N12" s="2" t="s">
        <v>14</v>
      </c>
      <c r="O12" s="2"/>
      <c r="P12" s="2">
        <f>-IF(P8&gt;99000,99000*6%,P8*6%-540)</f>
        <v>-3347.3999999999996</v>
      </c>
      <c r="R12" s="15" t="s">
        <v>14</v>
      </c>
      <c r="S12" s="2"/>
      <c r="T12" s="14">
        <f>-IF(T8&gt;99000,99000*6%,T8*6%-540)</f>
        <v>-5940</v>
      </c>
      <c r="V12" s="15" t="s">
        <v>14</v>
      </c>
      <c r="W12" s="2"/>
      <c r="X12" s="2">
        <f>-IF(X8&gt;99000,99000*6%,X8*6%-540)</f>
        <v>-5940</v>
      </c>
      <c r="Z12" s="2" t="s">
        <v>14</v>
      </c>
      <c r="AA12" s="2"/>
      <c r="AB12" s="14">
        <f>-IF(AB8&gt;99000,99000*6%,AB8*6%-540)</f>
        <v>-5940</v>
      </c>
      <c r="AC12" s="16"/>
      <c r="AD12" s="15" t="s">
        <v>14</v>
      </c>
      <c r="AE12" s="2"/>
      <c r="AF12" s="14">
        <f>-IF(AF8&gt;99000,99000*6%,AF8*6%-540)</f>
        <v>-5940</v>
      </c>
      <c r="AH12" s="15" t="s">
        <v>14</v>
      </c>
      <c r="AI12" s="2"/>
      <c r="AJ12" s="2">
        <f>-IF(AJ8&gt;99000,99000*6%,AJ8*6%-540)</f>
        <v>-5940</v>
      </c>
      <c r="AL12" s="15" t="s">
        <v>14</v>
      </c>
      <c r="AM12" s="2"/>
      <c r="AN12" s="2">
        <f>-IF(AN8&gt;99000,99000*6%,AN8*6%-540)</f>
        <v>-5940</v>
      </c>
      <c r="AP12" s="15" t="s">
        <v>14</v>
      </c>
      <c r="AQ12" s="2"/>
      <c r="AR12" s="2">
        <f>-IF(AR8&gt;99000,99000*6%,AR8*6%-540)</f>
        <v>-5940</v>
      </c>
      <c r="AT12" s="15" t="s">
        <v>14</v>
      </c>
      <c r="AU12" s="2"/>
      <c r="AV12" s="2">
        <f>-IF(AV8&gt;99000,99000*6%,AV8*6%-540)</f>
        <v>-5940</v>
      </c>
      <c r="AX12" s="15" t="s">
        <v>14</v>
      </c>
      <c r="AY12" s="2"/>
      <c r="AZ12" s="2">
        <f>-IF(AZ8&gt;99000,99000*6%,AZ8*6%-540)</f>
        <v>-5940</v>
      </c>
      <c r="BB12" s="15" t="s">
        <v>14</v>
      </c>
      <c r="BC12" s="2"/>
      <c r="BD12" s="2">
        <f>-IF(BD8&gt;99000,99000*6%,BD8*6%-540)</f>
        <v>-1770</v>
      </c>
      <c r="BF12" s="15" t="s">
        <v>14</v>
      </c>
      <c r="BG12" s="2"/>
      <c r="BH12" s="2">
        <f>-IF(BH8&gt;99000,99000*6%,BH8*6%-540)</f>
        <v>-5940</v>
      </c>
    </row>
    <row r="13" spans="2:61" x14ac:dyDescent="0.3">
      <c r="B13" s="15" t="s">
        <v>15</v>
      </c>
      <c r="C13" s="2"/>
      <c r="D13" s="2">
        <f>-2.75%*D8</f>
        <v>-3442.1750000000002</v>
      </c>
      <c r="F13" s="2" t="s">
        <v>15</v>
      </c>
      <c r="G13" s="2"/>
      <c r="H13" s="2">
        <f>-2.75%*H8</f>
        <v>-5124.3500000000004</v>
      </c>
      <c r="J13" s="2" t="s">
        <v>15</v>
      </c>
      <c r="K13" s="2"/>
      <c r="L13" s="2">
        <f>-2.75%*L3</f>
        <v>-8001.125</v>
      </c>
      <c r="N13" s="2" t="s">
        <v>15</v>
      </c>
      <c r="O13" s="2"/>
      <c r="P13" s="2">
        <f>-2.75%*P3</f>
        <v>-1781.7249999999999</v>
      </c>
      <c r="R13" s="15" t="s">
        <v>15</v>
      </c>
      <c r="S13" s="2"/>
      <c r="T13" s="14">
        <f>-T8*2.75%</f>
        <v>-10493.117250000001</v>
      </c>
      <c r="V13" s="15" t="s">
        <v>15</v>
      </c>
      <c r="W13" s="2"/>
      <c r="X13" s="2">
        <f>-X8*2.75%</f>
        <v>-6050</v>
      </c>
      <c r="Z13" s="2" t="s">
        <v>15</v>
      </c>
      <c r="AA13" s="2"/>
      <c r="AB13" s="36">
        <f>-SUM(AB3:AB6)*2.75%</f>
        <v>-13444.0625</v>
      </c>
      <c r="AD13" s="15" t="s">
        <v>15</v>
      </c>
      <c r="AE13" s="2"/>
      <c r="AF13" s="14">
        <f>-AF8*2.75%</f>
        <v>-18095</v>
      </c>
      <c r="AH13" s="15" t="s">
        <v>15</v>
      </c>
      <c r="AI13" s="2"/>
      <c r="AJ13" s="2">
        <f>-AJ8*2.75%</f>
        <v>-8148.9375</v>
      </c>
      <c r="AL13" s="15" t="s">
        <v>15</v>
      </c>
      <c r="AM13" s="2"/>
      <c r="AN13" s="2">
        <f>-AN8*2.75%</f>
        <v>-13444.0625</v>
      </c>
      <c r="AP13" s="15" t="s">
        <v>15</v>
      </c>
      <c r="AQ13" s="2"/>
      <c r="AR13" s="2">
        <f>-AR8*2.75%</f>
        <v>-11000</v>
      </c>
      <c r="AT13" s="15" t="s">
        <v>15</v>
      </c>
      <c r="AU13" s="2"/>
      <c r="AV13" s="2">
        <f>-SUM(AV3:AV6)*2.75%</f>
        <v>-10493.117250000001</v>
      </c>
      <c r="AX13" s="15" t="s">
        <v>15</v>
      </c>
      <c r="AY13" s="2"/>
      <c r="AZ13" s="2">
        <f>-AZ8*2.75%</f>
        <v>-23389.4375</v>
      </c>
      <c r="BB13" s="15" t="s">
        <v>15</v>
      </c>
      <c r="BC13" s="2"/>
      <c r="BD13" s="2">
        <f>-BD8*2.75%</f>
        <v>-1058.75</v>
      </c>
      <c r="BF13" s="15" t="s">
        <v>15</v>
      </c>
      <c r="BG13" s="2"/>
      <c r="BH13" s="2">
        <f>-BH8*2.75%</f>
        <v>-21530.3</v>
      </c>
      <c r="BI13" s="2"/>
    </row>
    <row r="14" spans="2:61" x14ac:dyDescent="0.3">
      <c r="B14" s="15" t="s">
        <v>16</v>
      </c>
      <c r="C14" s="2"/>
      <c r="D14" s="2">
        <f>-5%*D8</f>
        <v>-6258.5</v>
      </c>
      <c r="F14" s="2" t="s">
        <v>16</v>
      </c>
      <c r="G14" s="2"/>
      <c r="H14" s="2">
        <f>-5%*H8</f>
        <v>-9317</v>
      </c>
      <c r="J14" s="2" t="s">
        <v>16</v>
      </c>
      <c r="K14" s="2"/>
      <c r="L14" s="2">
        <f>-5%*L3</f>
        <v>-14547.5</v>
      </c>
      <c r="N14" s="2" t="s">
        <v>16</v>
      </c>
      <c r="O14" s="2"/>
      <c r="P14" s="2">
        <f>-5%*P3</f>
        <v>-3239.5</v>
      </c>
      <c r="R14" s="15" t="s">
        <v>16</v>
      </c>
      <c r="S14" s="2"/>
      <c r="T14" s="36">
        <f>-5%*T3</f>
        <v>-16662.195000000003</v>
      </c>
      <c r="V14" s="15" t="s">
        <v>16</v>
      </c>
      <c r="W14" s="2"/>
      <c r="X14" s="2">
        <f>-5%*X3</f>
        <v>-11000</v>
      </c>
      <c r="Z14" s="2" t="s">
        <v>16</v>
      </c>
      <c r="AA14" s="2"/>
      <c r="AB14" s="36">
        <f>-5%*AB3</f>
        <v>-21312.5</v>
      </c>
      <c r="AD14" s="15" t="s">
        <v>16</v>
      </c>
      <c r="AE14" s="2"/>
      <c r="AF14" s="14">
        <f>-5%*AF3</f>
        <v>-29000</v>
      </c>
      <c r="AH14" s="15" t="s">
        <v>16</v>
      </c>
      <c r="AI14" s="2"/>
      <c r="AJ14" s="36">
        <f>-AJ3*5%</f>
        <v>-12787.5</v>
      </c>
      <c r="AL14" s="15" t="s">
        <v>16</v>
      </c>
      <c r="AM14" s="14"/>
      <c r="AN14" s="36">
        <f>-AN3*5%</f>
        <v>-21312.5</v>
      </c>
      <c r="AP14" s="15" t="s">
        <v>16</v>
      </c>
      <c r="AQ14" s="14"/>
      <c r="AR14" s="36">
        <f>-AR3*5%</f>
        <v>-17500</v>
      </c>
      <c r="AT14" s="15" t="s">
        <v>16</v>
      </c>
      <c r="AU14" s="2"/>
      <c r="AV14" s="2">
        <f>-AV3*5%</f>
        <v>-16662.195000000003</v>
      </c>
      <c r="AX14" s="15" t="s">
        <v>16</v>
      </c>
      <c r="AY14" s="2"/>
      <c r="AZ14" s="36">
        <f>-AZ3*5%</f>
        <v>-36387.5</v>
      </c>
      <c r="BB14" s="15" t="s">
        <v>16</v>
      </c>
      <c r="BC14" s="2"/>
      <c r="BD14" s="36">
        <f>-BD3*5%</f>
        <v>-1925</v>
      </c>
      <c r="BF14" s="15" t="s">
        <v>16</v>
      </c>
      <c r="BG14" s="2"/>
      <c r="BH14" s="36">
        <f>-BH3*5%</f>
        <v>-34678.200000000004</v>
      </c>
    </row>
    <row r="15" spans="2:61" x14ac:dyDescent="0.3">
      <c r="B15" s="15" t="s">
        <v>17</v>
      </c>
      <c r="C15" s="2"/>
      <c r="D15" s="8">
        <f>-1.5%*D8</f>
        <v>-1877.55</v>
      </c>
      <c r="F15" s="2" t="s">
        <v>17</v>
      </c>
      <c r="G15" s="2"/>
      <c r="H15" s="8">
        <f>-1.5%*H8</f>
        <v>-2795.1</v>
      </c>
      <c r="J15" s="2" t="s">
        <v>17</v>
      </c>
      <c r="K15" s="2"/>
      <c r="L15" s="8">
        <f>-1.5%*L3</f>
        <v>-4364.25</v>
      </c>
      <c r="N15" s="2" t="s">
        <v>17</v>
      </c>
      <c r="O15" s="2"/>
      <c r="P15" s="8">
        <f>-1.5%*P3</f>
        <v>-971.84999999999991</v>
      </c>
      <c r="R15" s="15" t="s">
        <v>17</v>
      </c>
      <c r="S15" s="2"/>
      <c r="T15" s="34">
        <f>-1.5%*T8</f>
        <v>-5723.5185000000001</v>
      </c>
      <c r="V15" s="15" t="s">
        <v>17</v>
      </c>
      <c r="W15" s="2"/>
      <c r="X15" s="8">
        <f>-1.5%*X8</f>
        <v>-3300</v>
      </c>
      <c r="Z15" s="2" t="s">
        <v>17</v>
      </c>
      <c r="AA15" s="2"/>
      <c r="AB15" s="37">
        <f>-AB8*1.5%</f>
        <v>-10245.674999999999</v>
      </c>
      <c r="AD15" s="15" t="s">
        <v>17</v>
      </c>
      <c r="AE15" s="2"/>
      <c r="AF15" s="37">
        <f>-AF8*1.5%</f>
        <v>-9870</v>
      </c>
      <c r="AH15" s="15" t="s">
        <v>17</v>
      </c>
      <c r="AI15" s="2"/>
      <c r="AJ15" s="34">
        <f>-AJ8*1.5%</f>
        <v>-4444.875</v>
      </c>
      <c r="AL15" s="15" t="s">
        <v>17</v>
      </c>
      <c r="AM15" s="14"/>
      <c r="AN15" s="34">
        <f>-AN8*1.5%</f>
        <v>-7333.125</v>
      </c>
      <c r="AP15" s="15" t="s">
        <v>17</v>
      </c>
      <c r="AQ15" s="14"/>
      <c r="AR15" s="34">
        <f>-AR8*1.5%</f>
        <v>-6000</v>
      </c>
      <c r="AT15" s="15" t="s">
        <v>17</v>
      </c>
      <c r="AU15" s="2"/>
      <c r="AV15" s="34">
        <f>-AV8*1.5%</f>
        <v>-7591.6185000000005</v>
      </c>
      <c r="AX15" s="15" t="s">
        <v>17</v>
      </c>
      <c r="AY15" s="2"/>
      <c r="AZ15" s="34">
        <f>-AZ8*1.5%</f>
        <v>-12757.875</v>
      </c>
      <c r="BB15" s="15" t="s">
        <v>17</v>
      </c>
      <c r="BC15" s="2"/>
      <c r="BD15" s="34">
        <f>-BD8*1.5%</f>
        <v>-577.5</v>
      </c>
      <c r="BF15" s="15" t="s">
        <v>17</v>
      </c>
      <c r="BG15" s="2"/>
      <c r="BH15" s="34">
        <f>-BH8*1.5%</f>
        <v>-11743.8</v>
      </c>
    </row>
    <row r="16" spans="2:61" x14ac:dyDescent="0.3">
      <c r="B16" s="18" t="s">
        <v>18</v>
      </c>
      <c r="C16" s="2"/>
      <c r="D16" s="1">
        <f>SUM(D8:D15)</f>
        <v>107111.77499999999</v>
      </c>
      <c r="F16" s="2" t="s">
        <v>18</v>
      </c>
      <c r="G16" s="2"/>
      <c r="H16" s="1">
        <f>SUM(H8:H15)</f>
        <v>162623.54999999999</v>
      </c>
      <c r="J16" s="2" t="s">
        <v>18</v>
      </c>
      <c r="K16" s="2"/>
      <c r="L16" s="1">
        <f>SUM(L8:L15)</f>
        <v>257557.125</v>
      </c>
      <c r="N16" s="2" t="s">
        <v>18</v>
      </c>
      <c r="O16" s="2"/>
      <c r="P16" s="1">
        <f>SUM(P5:P15)</f>
        <v>54909.525000000001</v>
      </c>
      <c r="R16" s="15" t="s">
        <v>18</v>
      </c>
      <c r="S16" s="2"/>
      <c r="T16" s="14">
        <f>SUM(T8:T15)</f>
        <v>342209.06925</v>
      </c>
      <c r="V16" s="15" t="s">
        <v>18</v>
      </c>
      <c r="W16" s="2"/>
      <c r="X16" s="35">
        <f>SUM(X8:X15)</f>
        <v>193170</v>
      </c>
      <c r="Z16" s="2" t="s">
        <v>18</v>
      </c>
      <c r="AA16" s="2"/>
      <c r="AB16" s="1">
        <f>SUM(AB8:AB15)</f>
        <v>631562.76249999995</v>
      </c>
      <c r="AD16" s="15" t="s">
        <v>18</v>
      </c>
      <c r="AE16" s="2"/>
      <c r="AF16" s="1">
        <f>SUM(AF8:AF15)</f>
        <v>594555</v>
      </c>
      <c r="AH16" s="15" t="s">
        <v>18</v>
      </c>
      <c r="AI16" s="2"/>
      <c r="AJ16" s="21">
        <f>SUM(AJ8:AJ15)</f>
        <v>264463.6875</v>
      </c>
      <c r="AL16" s="15" t="s">
        <v>18</v>
      </c>
      <c r="AM16" s="14"/>
      <c r="AN16" s="21">
        <f>SUM(AN8:AN15)</f>
        <v>440305.3125</v>
      </c>
      <c r="AP16" s="15" t="s">
        <v>18</v>
      </c>
      <c r="AQ16" s="14"/>
      <c r="AR16" s="21">
        <f>SUM(AR8:AR15)</f>
        <v>359020</v>
      </c>
      <c r="AT16" s="15" t="s">
        <v>18</v>
      </c>
      <c r="AU16" s="2"/>
      <c r="AV16" s="1">
        <f>SUM(AV8:AV15)</f>
        <v>464880.96925000002</v>
      </c>
      <c r="AX16" s="15" t="s">
        <v>18</v>
      </c>
      <c r="AY16" s="2"/>
      <c r="AZ16" s="1">
        <f>SUM(AZ8:AZ15)</f>
        <v>771510.1875</v>
      </c>
      <c r="BB16" s="15" t="s">
        <v>18</v>
      </c>
      <c r="BC16" s="2"/>
      <c r="BD16" s="1">
        <f>SUM(BD8:BD15)</f>
        <v>32628.75</v>
      </c>
      <c r="BF16" s="15" t="s">
        <v>18</v>
      </c>
      <c r="BG16" s="2"/>
      <c r="BH16" s="1">
        <f>SUM(BH8:BH15)</f>
        <v>708487.7</v>
      </c>
    </row>
    <row r="17" spans="2:60" x14ac:dyDescent="0.3">
      <c r="B17" s="2" t="s">
        <v>48</v>
      </c>
      <c r="C17" s="2"/>
      <c r="D17" s="2">
        <v>0</v>
      </c>
      <c r="F17" s="2" t="s">
        <v>48</v>
      </c>
      <c r="G17" s="2"/>
      <c r="H17" s="2">
        <v>0</v>
      </c>
      <c r="J17" s="2" t="s">
        <v>48</v>
      </c>
      <c r="K17" s="2"/>
      <c r="L17" s="2">
        <v>0</v>
      </c>
      <c r="N17" s="2" t="s">
        <v>48</v>
      </c>
      <c r="O17" s="2"/>
      <c r="P17" s="2">
        <v>0</v>
      </c>
      <c r="R17" s="15" t="s">
        <v>48</v>
      </c>
      <c r="S17" s="2"/>
      <c r="T17" s="14">
        <v>80000</v>
      </c>
      <c r="V17" s="15" t="s">
        <v>48</v>
      </c>
      <c r="X17" s="8">
        <v>0</v>
      </c>
      <c r="Z17" s="2" t="s">
        <v>48</v>
      </c>
      <c r="AA17" s="2"/>
      <c r="AB17" s="10">
        <v>27277</v>
      </c>
      <c r="AD17" s="15" t="s">
        <v>48</v>
      </c>
      <c r="AE17" s="2"/>
      <c r="AF17" s="10">
        <v>149333</v>
      </c>
      <c r="AH17" s="15" t="s">
        <v>48</v>
      </c>
      <c r="AI17" s="2"/>
      <c r="AJ17" s="10">
        <v>120000</v>
      </c>
      <c r="AL17" s="15" t="s">
        <v>48</v>
      </c>
      <c r="AM17" s="2"/>
      <c r="AN17" s="10">
        <v>0</v>
      </c>
      <c r="AP17" s="15" t="s">
        <v>48</v>
      </c>
      <c r="AQ17" s="14"/>
      <c r="AR17" s="45">
        <v>0</v>
      </c>
      <c r="AT17" s="15" t="s">
        <v>48</v>
      </c>
      <c r="AU17" s="14"/>
      <c r="AV17" s="45">
        <v>0</v>
      </c>
      <c r="AX17" s="15" t="s">
        <v>48</v>
      </c>
      <c r="AY17" s="14"/>
      <c r="AZ17" s="45">
        <v>0</v>
      </c>
      <c r="BB17" s="15" t="s">
        <v>48</v>
      </c>
      <c r="BC17" s="14"/>
      <c r="BD17" s="45">
        <v>0</v>
      </c>
      <c r="BF17" s="15" t="s">
        <v>48</v>
      </c>
      <c r="BG17" s="14"/>
      <c r="BH17" s="45">
        <v>66666</v>
      </c>
    </row>
    <row r="18" spans="2:60" x14ac:dyDescent="0.3">
      <c r="B18" s="1" t="s">
        <v>42</v>
      </c>
      <c r="C18" s="2"/>
      <c r="D18" s="24">
        <f>SUM(D16:D17)</f>
        <v>107111.77499999999</v>
      </c>
      <c r="F18" s="1" t="s">
        <v>42</v>
      </c>
      <c r="G18" s="2"/>
      <c r="H18" s="24">
        <f>SUM(H16:H17)</f>
        <v>162623.54999999999</v>
      </c>
      <c r="J18" s="1" t="s">
        <v>42</v>
      </c>
      <c r="K18" s="2"/>
      <c r="L18" s="24">
        <f>SUM(L16:L17)</f>
        <v>257557.125</v>
      </c>
      <c r="N18" s="1" t="s">
        <v>42</v>
      </c>
      <c r="O18" s="2"/>
      <c r="P18" s="24">
        <f>SUM(P16:P17)</f>
        <v>54909.525000000001</v>
      </c>
      <c r="R18" s="18" t="s">
        <v>42</v>
      </c>
      <c r="S18" s="2"/>
      <c r="T18" s="24">
        <f>SUM(T16:T17)</f>
        <v>422209.06925</v>
      </c>
      <c r="V18" s="18" t="s">
        <v>42</v>
      </c>
      <c r="X18" s="1">
        <f>SUM(X16:X17)</f>
        <v>193170</v>
      </c>
      <c r="Z18" s="18" t="s">
        <v>42</v>
      </c>
      <c r="AB18" s="1">
        <f>SUM(AB16:AB17)</f>
        <v>658839.76249999995</v>
      </c>
      <c r="AD18" s="18" t="s">
        <v>42</v>
      </c>
      <c r="AE18" s="1"/>
      <c r="AF18" s="28">
        <f>SUM(AF16:AF17)</f>
        <v>743888</v>
      </c>
      <c r="AH18" s="18" t="s">
        <v>42</v>
      </c>
      <c r="AI18" s="1"/>
      <c r="AJ18" s="28">
        <f>SUM(AJ16:AJ17)</f>
        <v>384463.6875</v>
      </c>
      <c r="AL18" s="18" t="s">
        <v>42</v>
      </c>
      <c r="AM18" s="1"/>
      <c r="AN18" s="28">
        <f>SUM(AN16:AN17)</f>
        <v>440305.3125</v>
      </c>
      <c r="AP18" s="18" t="s">
        <v>42</v>
      </c>
      <c r="AQ18" s="14"/>
      <c r="AR18" s="48">
        <f>SUM(AR16:AR17)</f>
        <v>359020</v>
      </c>
      <c r="AT18" s="18" t="s">
        <v>42</v>
      </c>
      <c r="AU18" s="14"/>
      <c r="AV18" s="48">
        <f>SUM(AV16:AV17)</f>
        <v>464880.96925000002</v>
      </c>
      <c r="AX18" s="18" t="s">
        <v>42</v>
      </c>
      <c r="AY18" s="14"/>
      <c r="AZ18" s="48">
        <f>SUM(AZ16:AZ17)</f>
        <v>771510.1875</v>
      </c>
      <c r="BB18" s="18" t="s">
        <v>42</v>
      </c>
      <c r="BC18" s="14"/>
      <c r="BD18" s="48">
        <f>SUM(BD16:BD17)</f>
        <v>32628.75</v>
      </c>
      <c r="BF18" s="18" t="s">
        <v>42</v>
      </c>
      <c r="BG18" s="14"/>
      <c r="BH18" s="48">
        <f>SUM(BH16:BH17)</f>
        <v>775153.7</v>
      </c>
    </row>
    <row r="19" spans="2:60" x14ac:dyDescent="0.3">
      <c r="F19" s="1"/>
      <c r="G19" s="2"/>
      <c r="H19" s="4"/>
      <c r="J19" s="1"/>
      <c r="K19" s="2"/>
      <c r="L19" s="4"/>
      <c r="N19" s="1"/>
      <c r="O19" s="2"/>
      <c r="P19" s="4"/>
      <c r="S19" s="2"/>
      <c r="T19" s="4"/>
      <c r="AE19" s="2"/>
      <c r="AF19" s="4"/>
      <c r="AI19" s="2"/>
      <c r="AJ19" s="45"/>
      <c r="AM19" s="14"/>
      <c r="AN19" s="45"/>
      <c r="AQ19" s="14"/>
      <c r="AR19" s="45"/>
      <c r="AU19" s="2"/>
      <c r="AV19" s="4"/>
      <c r="AX19" s="15"/>
      <c r="AY19" s="2"/>
      <c r="AZ19" s="4"/>
      <c r="BC19" s="2"/>
      <c r="BD19" s="4"/>
      <c r="BG19" s="2"/>
      <c r="BH19" s="4"/>
    </row>
    <row r="20" spans="2:60" x14ac:dyDescent="0.3">
      <c r="B20" s="1" t="s">
        <v>19</v>
      </c>
      <c r="C20" s="2"/>
      <c r="D20" s="4"/>
      <c r="F20" s="1" t="s">
        <v>19</v>
      </c>
      <c r="G20" s="2"/>
      <c r="H20" s="4"/>
      <c r="J20" s="1" t="s">
        <v>19</v>
      </c>
      <c r="K20" s="2"/>
      <c r="L20" s="4"/>
      <c r="N20" s="1" t="s">
        <v>19</v>
      </c>
      <c r="O20" s="2"/>
      <c r="P20" s="4"/>
      <c r="R20" s="18" t="s">
        <v>19</v>
      </c>
      <c r="S20" s="2"/>
      <c r="T20" s="4"/>
      <c r="V20" s="18" t="s">
        <v>19</v>
      </c>
      <c r="W20" s="2"/>
      <c r="X20" s="4"/>
      <c r="Z20" s="18" t="s">
        <v>19</v>
      </c>
      <c r="AA20" s="2"/>
      <c r="AB20" s="4"/>
      <c r="AD20" s="18" t="s">
        <v>19</v>
      </c>
      <c r="AE20" s="2"/>
      <c r="AF20" s="4"/>
      <c r="AH20" s="18" t="s">
        <v>19</v>
      </c>
      <c r="AI20" s="2"/>
      <c r="AJ20" s="4"/>
      <c r="AL20" s="18" t="s">
        <v>19</v>
      </c>
      <c r="AM20" s="2"/>
      <c r="AN20" s="4"/>
      <c r="AP20" s="18" t="s">
        <v>19</v>
      </c>
      <c r="AQ20" s="2"/>
      <c r="AR20" s="4"/>
      <c r="AT20" s="18" t="s">
        <v>19</v>
      </c>
      <c r="AU20" s="2"/>
      <c r="AV20" s="4"/>
      <c r="AX20" s="18" t="s">
        <v>19</v>
      </c>
      <c r="AY20" s="2"/>
      <c r="AZ20" s="4"/>
      <c r="BB20" s="18" t="s">
        <v>19</v>
      </c>
      <c r="BC20" s="2"/>
      <c r="BD20" s="4"/>
      <c r="BF20" s="18" t="s">
        <v>19</v>
      </c>
      <c r="BG20" s="2"/>
      <c r="BH20" s="4"/>
    </row>
    <row r="21" spans="2:60" x14ac:dyDescent="0.3">
      <c r="B21" s="15" t="s">
        <v>20</v>
      </c>
      <c r="C21" s="9">
        <v>0.1</v>
      </c>
      <c r="D21" s="4">
        <f>-24000*C21</f>
        <v>-2400</v>
      </c>
      <c r="F21" s="2" t="s">
        <v>20</v>
      </c>
      <c r="G21" s="9">
        <v>0.1</v>
      </c>
      <c r="H21" s="4">
        <f>-24000*G21</f>
        <v>-2400</v>
      </c>
      <c r="J21" s="15" t="s">
        <v>20</v>
      </c>
      <c r="K21" s="9">
        <v>0.1</v>
      </c>
      <c r="L21" s="4">
        <f>-24000*K21</f>
        <v>-2400</v>
      </c>
      <c r="N21" s="15" t="s">
        <v>20</v>
      </c>
      <c r="O21" s="9">
        <v>0.1</v>
      </c>
      <c r="P21" s="4">
        <f>-24000*O21</f>
        <v>-2400</v>
      </c>
      <c r="R21" s="15" t="s">
        <v>20</v>
      </c>
      <c r="S21" s="9">
        <v>0.1</v>
      </c>
      <c r="T21" s="4">
        <f>-24000*S21</f>
        <v>-2400</v>
      </c>
      <c r="V21" s="15" t="s">
        <v>20</v>
      </c>
      <c r="W21" s="9">
        <v>0.1</v>
      </c>
      <c r="X21" s="4">
        <f>-24000*W21</f>
        <v>-2400</v>
      </c>
      <c r="Z21" s="15" t="s">
        <v>20</v>
      </c>
      <c r="AA21" s="9">
        <v>0.1</v>
      </c>
      <c r="AB21" s="4">
        <f>-24000*AA21</f>
        <v>-2400</v>
      </c>
      <c r="AD21" s="15" t="s">
        <v>20</v>
      </c>
      <c r="AE21" s="9">
        <v>0.1</v>
      </c>
      <c r="AF21" s="4">
        <f>-24000*AE21</f>
        <v>-2400</v>
      </c>
      <c r="AH21" s="15" t="s">
        <v>20</v>
      </c>
      <c r="AI21" s="9">
        <v>0.1</v>
      </c>
      <c r="AJ21" s="4">
        <f>-24000*AI21</f>
        <v>-2400</v>
      </c>
      <c r="AL21" s="15" t="s">
        <v>20</v>
      </c>
      <c r="AM21" s="9">
        <v>0.1</v>
      </c>
      <c r="AN21" s="4">
        <f>-24000*AM21</f>
        <v>-2400</v>
      </c>
      <c r="AP21" s="15" t="s">
        <v>20</v>
      </c>
      <c r="AQ21" s="9">
        <v>0.1</v>
      </c>
      <c r="AR21" s="4">
        <f>-24000*AQ21</f>
        <v>-2400</v>
      </c>
      <c r="AT21" s="15" t="s">
        <v>20</v>
      </c>
      <c r="AU21" s="9">
        <v>0.1</v>
      </c>
      <c r="AV21" s="4">
        <f>-24000*AU21</f>
        <v>-2400</v>
      </c>
      <c r="AX21" s="15" t="s">
        <v>20</v>
      </c>
      <c r="AY21" s="9">
        <v>0.1</v>
      </c>
      <c r="AZ21" s="4">
        <f>-24000*AY21</f>
        <v>-2400</v>
      </c>
      <c r="BB21" s="15" t="s">
        <v>20</v>
      </c>
      <c r="BC21" s="9">
        <v>0.1</v>
      </c>
      <c r="BD21" s="4">
        <f>-24000*BC21</f>
        <v>-2400</v>
      </c>
      <c r="BF21" s="15" t="s">
        <v>20</v>
      </c>
      <c r="BG21" s="9">
        <v>0.1</v>
      </c>
      <c r="BH21" s="4">
        <f>-24000*BG21</f>
        <v>-2400</v>
      </c>
    </row>
    <row r="22" spans="2:60" x14ac:dyDescent="0.3">
      <c r="B22" s="15" t="s">
        <v>21</v>
      </c>
      <c r="C22" s="9">
        <f>25%</f>
        <v>0.25</v>
      </c>
      <c r="D22" s="4">
        <f>-8333*C22</f>
        <v>-2083.25</v>
      </c>
      <c r="F22" s="2" t="s">
        <v>21</v>
      </c>
      <c r="G22" s="9">
        <f>25%</f>
        <v>0.25</v>
      </c>
      <c r="H22" s="4">
        <f>-8333*G22</f>
        <v>-2083.25</v>
      </c>
      <c r="J22" s="15" t="s">
        <v>21</v>
      </c>
      <c r="K22" s="9">
        <f>25%</f>
        <v>0.25</v>
      </c>
      <c r="L22" s="4">
        <f>-8333*K22</f>
        <v>-2083.25</v>
      </c>
      <c r="N22" s="15" t="s">
        <v>21</v>
      </c>
      <c r="O22" s="9">
        <f>25%</f>
        <v>0.25</v>
      </c>
      <c r="P22" s="4">
        <f>-8333*O22</f>
        <v>-2083.25</v>
      </c>
      <c r="R22" s="15" t="s">
        <v>21</v>
      </c>
      <c r="S22" s="9">
        <f>25%</f>
        <v>0.25</v>
      </c>
      <c r="T22" s="4">
        <f>-8333*S22</f>
        <v>-2083.25</v>
      </c>
      <c r="V22" s="15" t="s">
        <v>21</v>
      </c>
      <c r="W22" s="9">
        <f>25%</f>
        <v>0.25</v>
      </c>
      <c r="X22" s="4">
        <f>-8333*W22</f>
        <v>-2083.25</v>
      </c>
      <c r="Z22" s="15" t="s">
        <v>21</v>
      </c>
      <c r="AA22" s="9">
        <f>25%</f>
        <v>0.25</v>
      </c>
      <c r="AB22" s="4">
        <f>-8333*AA22</f>
        <v>-2083.25</v>
      </c>
      <c r="AD22" s="15" t="s">
        <v>21</v>
      </c>
      <c r="AE22" s="9">
        <f>25%</f>
        <v>0.25</v>
      </c>
      <c r="AF22" s="4">
        <f>-8333*AE22</f>
        <v>-2083.25</v>
      </c>
      <c r="AH22" s="15" t="s">
        <v>21</v>
      </c>
      <c r="AI22" s="9">
        <f>25%</f>
        <v>0.25</v>
      </c>
      <c r="AJ22" s="4">
        <f>-8333*AI22</f>
        <v>-2083.25</v>
      </c>
      <c r="AL22" s="15" t="s">
        <v>21</v>
      </c>
      <c r="AM22" s="9">
        <f>25%</f>
        <v>0.25</v>
      </c>
      <c r="AN22" s="4">
        <f>-8333*AM22</f>
        <v>-2083.25</v>
      </c>
      <c r="AP22" s="15" t="s">
        <v>21</v>
      </c>
      <c r="AQ22" s="9">
        <f>25%</f>
        <v>0.25</v>
      </c>
      <c r="AR22" s="4">
        <f>-8333*AQ22</f>
        <v>-2083.25</v>
      </c>
      <c r="AT22" s="15" t="s">
        <v>21</v>
      </c>
      <c r="AU22" s="9">
        <f>25%</f>
        <v>0.25</v>
      </c>
      <c r="AV22" s="4">
        <f>-8333*AU22</f>
        <v>-2083.25</v>
      </c>
      <c r="AX22" s="15" t="s">
        <v>21</v>
      </c>
      <c r="AY22" s="9">
        <f>25%</f>
        <v>0.25</v>
      </c>
      <c r="AZ22" s="4">
        <f>-8333*AY22</f>
        <v>-2083.25</v>
      </c>
      <c r="BB22" s="15" t="s">
        <v>21</v>
      </c>
      <c r="BC22" s="9">
        <f>25%</f>
        <v>0.25</v>
      </c>
      <c r="BD22" s="4">
        <f>-(BD18-24000)*BC22</f>
        <v>-2157.1875</v>
      </c>
      <c r="BF22" s="15" t="s">
        <v>21</v>
      </c>
      <c r="BG22" s="9">
        <f>25%</f>
        <v>0.25</v>
      </c>
      <c r="BH22" s="4">
        <f>-8333*BG22</f>
        <v>-2083.25</v>
      </c>
    </row>
    <row r="23" spans="2:60" x14ac:dyDescent="0.3">
      <c r="B23" s="15" t="s">
        <v>22</v>
      </c>
      <c r="C23" s="9">
        <v>0.3</v>
      </c>
      <c r="D23" s="13">
        <f>-(D18-24000-8333)*30%</f>
        <v>-22433.632499999996</v>
      </c>
      <c r="F23" s="2" t="s">
        <v>22</v>
      </c>
      <c r="G23" s="9">
        <v>0.3</v>
      </c>
      <c r="H23" s="13">
        <f>-(H18-24000-8333)*30%</f>
        <v>-39087.164999999994</v>
      </c>
      <c r="J23" s="15" t="s">
        <v>22</v>
      </c>
      <c r="K23" s="9">
        <v>0.3</v>
      </c>
      <c r="L23" s="13">
        <f>-(L16-24000-8333)*30%</f>
        <v>-67567.237500000003</v>
      </c>
      <c r="N23" s="15" t="s">
        <v>22</v>
      </c>
      <c r="O23" s="9">
        <v>0.3</v>
      </c>
      <c r="P23" s="13">
        <f>-(P18-24000-8333)*30%</f>
        <v>-6772.9575000000004</v>
      </c>
      <c r="R23" s="15" t="s">
        <v>22</v>
      </c>
      <c r="S23" s="9">
        <v>0.3</v>
      </c>
      <c r="T23" s="13">
        <f>-(T18-24000-8333)*30%</f>
        <v>-116962.820775</v>
      </c>
      <c r="V23" s="15" t="s">
        <v>22</v>
      </c>
      <c r="W23" s="9">
        <v>0.3</v>
      </c>
      <c r="X23" s="13">
        <f>-(X16-24000-8333)*30%</f>
        <v>-48251.1</v>
      </c>
      <c r="Z23" s="15" t="s">
        <v>22</v>
      </c>
      <c r="AA23" s="9">
        <v>0.3</v>
      </c>
      <c r="AB23" s="13">
        <f>-467667*AA23</f>
        <v>-140300.1</v>
      </c>
      <c r="AD23" s="15" t="s">
        <v>22</v>
      </c>
      <c r="AE23" s="9">
        <v>0.3</v>
      </c>
      <c r="AF23" s="13">
        <f>-467667*30%</f>
        <v>-140300.1</v>
      </c>
      <c r="AH23" s="15" t="s">
        <v>22</v>
      </c>
      <c r="AI23" s="9">
        <v>0.3</v>
      </c>
      <c r="AJ23" s="13">
        <f>-(AJ18-8333-24000)*AI23</f>
        <v>-105639.20625</v>
      </c>
      <c r="AL23" s="15" t="s">
        <v>22</v>
      </c>
      <c r="AM23" s="9">
        <v>0.3</v>
      </c>
      <c r="AN23" s="13">
        <f>-(AN18-24000-8333)*30%</f>
        <v>-122391.69374999999</v>
      </c>
      <c r="AP23" s="15" t="s">
        <v>22</v>
      </c>
      <c r="AQ23" s="9">
        <v>0.3</v>
      </c>
      <c r="AR23" s="13">
        <f>-(AR16-24000-8333)*30%</f>
        <v>-98006.099999999991</v>
      </c>
      <c r="AT23" s="15" t="s">
        <v>22</v>
      </c>
      <c r="AU23" s="9">
        <v>0.3</v>
      </c>
      <c r="AV23" s="13">
        <f>-(AV16-24000-8333)*30%</f>
        <v>-129764.39077500001</v>
      </c>
      <c r="AX23" s="15" t="s">
        <v>22</v>
      </c>
      <c r="AY23" s="9">
        <v>0.3</v>
      </c>
      <c r="AZ23" s="13">
        <f>-467667*AY23</f>
        <v>-140300.1</v>
      </c>
      <c r="BB23" s="15" t="s">
        <v>22</v>
      </c>
      <c r="BC23" s="9">
        <v>0.3</v>
      </c>
      <c r="BD23" s="13">
        <v>0</v>
      </c>
      <c r="BF23" s="15" t="s">
        <v>22</v>
      </c>
      <c r="BG23" s="9">
        <v>0.3</v>
      </c>
      <c r="BH23" s="13">
        <f>-467667*BG23</f>
        <v>-140300.1</v>
      </c>
    </row>
    <row r="24" spans="2:60" x14ac:dyDescent="0.3">
      <c r="B24" s="15" t="s">
        <v>24</v>
      </c>
      <c r="C24" s="9"/>
      <c r="D24" s="10">
        <v>2400</v>
      </c>
      <c r="F24" s="2" t="s">
        <v>24</v>
      </c>
      <c r="G24" s="9"/>
      <c r="H24" s="10">
        <v>2400</v>
      </c>
      <c r="J24" s="15" t="s">
        <v>24</v>
      </c>
      <c r="K24" s="9"/>
      <c r="L24" s="10">
        <v>2400</v>
      </c>
      <c r="N24" s="15" t="s">
        <v>24</v>
      </c>
      <c r="O24" s="9"/>
      <c r="P24" s="10">
        <v>2400</v>
      </c>
      <c r="R24" s="15" t="s">
        <v>49</v>
      </c>
      <c r="S24" s="17">
        <v>0.32500000000000001</v>
      </c>
      <c r="T24" s="16">
        <v>0</v>
      </c>
      <c r="V24" s="15" t="s">
        <v>49</v>
      </c>
      <c r="W24" s="17">
        <v>0.32500000000000001</v>
      </c>
      <c r="X24" s="16">
        <v>0</v>
      </c>
      <c r="Z24" s="15" t="s">
        <v>49</v>
      </c>
      <c r="AA24" s="17">
        <v>0.32500000000000001</v>
      </c>
      <c r="AB24" s="16">
        <f>-(AB18-500000)*AA24</f>
        <v>-51622.922812499986</v>
      </c>
      <c r="AD24" s="15" t="s">
        <v>49</v>
      </c>
      <c r="AE24" s="17">
        <v>0.32500000000000001</v>
      </c>
      <c r="AF24" s="16">
        <f>-(AF18-500000)*AE24</f>
        <v>-79263.600000000006</v>
      </c>
      <c r="AH24" s="15" t="s">
        <v>49</v>
      </c>
      <c r="AI24" s="17">
        <v>0.32500000000000001</v>
      </c>
      <c r="AJ24" s="13">
        <v>0</v>
      </c>
      <c r="AL24" s="15" t="s">
        <v>49</v>
      </c>
      <c r="AM24" s="17">
        <v>0.32500000000000001</v>
      </c>
      <c r="AN24" s="15">
        <v>0</v>
      </c>
      <c r="AP24" s="15" t="s">
        <v>49</v>
      </c>
      <c r="AQ24" s="17">
        <v>0.32500000000000001</v>
      </c>
      <c r="AR24" s="15">
        <v>0</v>
      </c>
      <c r="AT24" s="15" t="s">
        <v>49</v>
      </c>
      <c r="AU24" s="17">
        <v>0.32500000000000001</v>
      </c>
      <c r="AV24" s="15">
        <v>0</v>
      </c>
      <c r="AX24" s="15" t="s">
        <v>49</v>
      </c>
      <c r="AY24" s="17">
        <v>0.32500000000000001</v>
      </c>
      <c r="AZ24" s="13">
        <f>-(AZ18-500000)*AY24</f>
        <v>-88240.810937500006</v>
      </c>
      <c r="BB24" s="15" t="s">
        <v>49</v>
      </c>
      <c r="BC24" s="17">
        <v>0.32500000000000001</v>
      </c>
      <c r="BD24" s="13">
        <v>0</v>
      </c>
      <c r="BF24" s="15" t="s">
        <v>49</v>
      </c>
      <c r="BG24" s="17">
        <v>0.32500000000000001</v>
      </c>
      <c r="BH24" s="13">
        <f>-(BH18-500000)*BG24</f>
        <v>-89424.952499999985</v>
      </c>
    </row>
    <row r="25" spans="2:60" x14ac:dyDescent="0.3">
      <c r="B25" s="15" t="s">
        <v>23</v>
      </c>
      <c r="C25" s="2"/>
      <c r="D25" s="4">
        <f>SUM(D21:D24)</f>
        <v>-24516.882499999996</v>
      </c>
      <c r="F25" s="2" t="s">
        <v>23</v>
      </c>
      <c r="G25" s="2"/>
      <c r="H25" s="4">
        <f>SUM(H21:H24)</f>
        <v>-41170.414999999994</v>
      </c>
      <c r="J25" s="15" t="s">
        <v>23</v>
      </c>
      <c r="K25" s="2"/>
      <c r="L25" s="4">
        <f>SUM(L21:L24)</f>
        <v>-69650.487500000003</v>
      </c>
      <c r="N25" s="15" t="s">
        <v>23</v>
      </c>
      <c r="O25" s="2"/>
      <c r="P25" s="4">
        <f>SUM(P21:P24)</f>
        <v>-8856.2075000000004</v>
      </c>
      <c r="R25" s="15" t="s">
        <v>24</v>
      </c>
      <c r="S25" s="9"/>
      <c r="T25" s="10">
        <v>2400</v>
      </c>
      <c r="V25" s="15" t="s">
        <v>24</v>
      </c>
      <c r="W25" s="9"/>
      <c r="X25" s="10">
        <v>2400</v>
      </c>
      <c r="Z25" s="15" t="s">
        <v>24</v>
      </c>
      <c r="AA25" s="9"/>
      <c r="AB25" s="10">
        <v>2400</v>
      </c>
      <c r="AD25" s="15" t="s">
        <v>24</v>
      </c>
      <c r="AE25" s="9"/>
      <c r="AF25" s="10">
        <v>2400</v>
      </c>
      <c r="AH25" s="15" t="s">
        <v>24</v>
      </c>
      <c r="AI25" s="9"/>
      <c r="AJ25" s="10">
        <v>2400</v>
      </c>
      <c r="AL25" s="15" t="s">
        <v>24</v>
      </c>
      <c r="AM25" s="9"/>
      <c r="AN25" s="10">
        <v>2400</v>
      </c>
      <c r="AP25" s="15" t="s">
        <v>24</v>
      </c>
      <c r="AQ25" s="9"/>
      <c r="AR25" s="10">
        <v>2400</v>
      </c>
      <c r="AT25" s="15" t="s">
        <v>24</v>
      </c>
      <c r="AU25" s="9"/>
      <c r="AV25" s="10">
        <v>2400</v>
      </c>
      <c r="AX25" s="15" t="s">
        <v>24</v>
      </c>
      <c r="AY25" s="9"/>
      <c r="AZ25" s="10">
        <v>2400</v>
      </c>
      <c r="BB25" s="15" t="s">
        <v>24</v>
      </c>
      <c r="BC25" s="9"/>
      <c r="BD25" s="10">
        <v>2400</v>
      </c>
      <c r="BF25" s="15" t="s">
        <v>24</v>
      </c>
      <c r="BG25" s="9"/>
      <c r="BH25" s="10">
        <v>2400</v>
      </c>
    </row>
    <row r="26" spans="2:60" x14ac:dyDescent="0.3">
      <c r="C26" s="2"/>
      <c r="D26" s="4"/>
      <c r="F26" s="2"/>
      <c r="G26" s="2"/>
      <c r="H26" s="4"/>
      <c r="J26" s="2"/>
      <c r="K26" s="2"/>
      <c r="L26" s="4"/>
      <c r="R26" s="15" t="s">
        <v>23</v>
      </c>
      <c r="S26" s="2"/>
      <c r="T26" s="4">
        <f>SUM(T21:T25)</f>
        <v>-119046.070775</v>
      </c>
      <c r="V26" s="15" t="s">
        <v>23</v>
      </c>
      <c r="W26" s="2"/>
      <c r="X26" s="4">
        <f>SUM(X21:X25)</f>
        <v>-50334.35</v>
      </c>
      <c r="Z26" s="18" t="s">
        <v>23</v>
      </c>
      <c r="AA26" s="1"/>
      <c r="AB26" s="44">
        <f>SUM(AB21:AB25)</f>
        <v>-194006.27281249998</v>
      </c>
      <c r="AD26" s="18" t="s">
        <v>23</v>
      </c>
      <c r="AE26" s="1"/>
      <c r="AF26" s="28">
        <f>SUM(AF21:AF25)</f>
        <v>-221646.95</v>
      </c>
      <c r="AH26" s="18" t="s">
        <v>23</v>
      </c>
      <c r="AI26" s="2"/>
      <c r="AJ26" s="28">
        <f>SUM(AJ21:AJ25)</f>
        <v>-107722.45625</v>
      </c>
      <c r="AL26" s="18" t="s">
        <v>23</v>
      </c>
      <c r="AM26" s="1"/>
      <c r="AN26" s="28">
        <f>SUM(AN21:AN25)</f>
        <v>-124474.94374999999</v>
      </c>
      <c r="AO26" s="18"/>
      <c r="AP26" s="18" t="s">
        <v>23</v>
      </c>
      <c r="AQ26" s="1"/>
      <c r="AR26" s="28">
        <f>SUM(AR21:AR25)</f>
        <v>-100089.34999999999</v>
      </c>
      <c r="AS26" s="18"/>
      <c r="AT26" s="18" t="s">
        <v>23</v>
      </c>
      <c r="AU26" s="18"/>
      <c r="AV26" s="28">
        <f>SUM(AV21:AV25)</f>
        <v>-131847.64077500001</v>
      </c>
      <c r="AW26" s="18"/>
      <c r="AX26" s="18" t="s">
        <v>23</v>
      </c>
      <c r="AY26" s="1"/>
      <c r="AZ26" s="28">
        <f>SUM(AZ21:AZ25)</f>
        <v>-230624.16093750001</v>
      </c>
      <c r="BB26" s="18" t="s">
        <v>23</v>
      </c>
      <c r="BC26" s="1"/>
      <c r="BD26" s="28">
        <f>SUM(BD21:BD25)</f>
        <v>-2157.1875</v>
      </c>
      <c r="BF26" s="18" t="s">
        <v>23</v>
      </c>
      <c r="BG26" s="1"/>
      <c r="BH26" s="28">
        <f>SUM(BH21:BH25)</f>
        <v>-231808.30249999999</v>
      </c>
    </row>
    <row r="27" spans="2:60" x14ac:dyDescent="0.3">
      <c r="B27" s="15" t="s">
        <v>25</v>
      </c>
      <c r="C27" s="2"/>
      <c r="D27" s="4">
        <v>-400</v>
      </c>
      <c r="F27" s="2" t="s">
        <v>25</v>
      </c>
      <c r="G27" s="2"/>
      <c r="H27" s="4">
        <v>-400</v>
      </c>
      <c r="J27" s="15" t="s">
        <v>25</v>
      </c>
      <c r="K27" s="2"/>
      <c r="L27" s="4">
        <v>-400</v>
      </c>
      <c r="N27" s="15" t="s">
        <v>25</v>
      </c>
      <c r="O27" s="2"/>
      <c r="P27" s="4">
        <v>-400</v>
      </c>
      <c r="AH27" s="15"/>
      <c r="AX27" s="15"/>
    </row>
    <row r="28" spans="2:60" x14ac:dyDescent="0.3">
      <c r="B28" s="15" t="s">
        <v>30</v>
      </c>
      <c r="C28" s="2"/>
      <c r="D28" s="4">
        <f>-'Pension Computation'!N3*30%</f>
        <v>-520.65</v>
      </c>
      <c r="F28" s="2" t="s">
        <v>30</v>
      </c>
      <c r="G28" s="2"/>
      <c r="H28" s="4">
        <f>-'Pension Computation'!N4*30%</f>
        <v>-3273.2999999999997</v>
      </c>
      <c r="J28" s="15" t="s">
        <v>30</v>
      </c>
      <c r="K28" s="2"/>
      <c r="L28" s="4">
        <f>-'Pension Computation'!N5*30%</f>
        <v>-7980.75</v>
      </c>
      <c r="N28" s="15" t="s">
        <v>54</v>
      </c>
      <c r="O28" s="2"/>
      <c r="P28" s="31">
        <f>-'Pension Computation'!R5*30%</f>
        <v>0</v>
      </c>
      <c r="R28" s="15" t="s">
        <v>25</v>
      </c>
      <c r="S28" s="2"/>
      <c r="T28" s="4">
        <v>-400</v>
      </c>
      <c r="V28" s="15" t="s">
        <v>25</v>
      </c>
      <c r="W28" s="2"/>
      <c r="X28" s="4">
        <v>-400</v>
      </c>
      <c r="Z28" s="15" t="s">
        <v>25</v>
      </c>
      <c r="AA28" s="2"/>
      <c r="AB28" s="45">
        <v>-400</v>
      </c>
      <c r="AD28" s="15" t="s">
        <v>25</v>
      </c>
      <c r="AE28" s="2"/>
      <c r="AF28" s="4">
        <v>-400</v>
      </c>
      <c r="AH28" s="15" t="s">
        <v>25</v>
      </c>
      <c r="AI28" s="2"/>
      <c r="AJ28" s="4">
        <v>-400</v>
      </c>
      <c r="AL28" s="15" t="s">
        <v>25</v>
      </c>
      <c r="AM28" s="2"/>
      <c r="AN28" s="4">
        <v>-400</v>
      </c>
      <c r="AP28" s="15" t="s">
        <v>25</v>
      </c>
      <c r="AQ28" s="2"/>
      <c r="AR28" s="4">
        <v>-400</v>
      </c>
      <c r="AT28" s="15" t="s">
        <v>25</v>
      </c>
      <c r="AU28" s="2"/>
      <c r="AV28" s="4">
        <v>-400</v>
      </c>
      <c r="AX28" s="15" t="s">
        <v>25</v>
      </c>
      <c r="AY28" s="2"/>
      <c r="AZ28" s="4">
        <v>-400</v>
      </c>
      <c r="BB28" s="15" t="s">
        <v>25</v>
      </c>
      <c r="BC28" s="2"/>
      <c r="BD28" s="4">
        <v>-400</v>
      </c>
      <c r="BF28" s="15" t="s">
        <v>25</v>
      </c>
      <c r="BG28" s="2"/>
      <c r="BH28" s="4">
        <v>-400</v>
      </c>
    </row>
    <row r="29" spans="2:60" x14ac:dyDescent="0.3">
      <c r="B29" s="15" t="s">
        <v>26</v>
      </c>
      <c r="C29" s="2"/>
      <c r="D29" s="4">
        <f>-10200</f>
        <v>-10200</v>
      </c>
      <c r="F29" s="2" t="s">
        <v>26</v>
      </c>
      <c r="G29" s="2"/>
      <c r="H29" s="31">
        <v>0</v>
      </c>
      <c r="J29" s="15" t="s">
        <v>26</v>
      </c>
      <c r="K29" s="2"/>
      <c r="L29" s="4">
        <f>-(61445)</f>
        <v>-61445</v>
      </c>
      <c r="N29" s="15" t="s">
        <v>26</v>
      </c>
      <c r="O29" s="2"/>
      <c r="P29" s="4">
        <v>-24268</v>
      </c>
      <c r="R29" s="15" t="s">
        <v>54</v>
      </c>
      <c r="S29" s="2"/>
      <c r="T29" s="4">
        <v>-9883.98</v>
      </c>
      <c r="V29" s="15" t="s">
        <v>31</v>
      </c>
      <c r="W29" s="2"/>
      <c r="X29" s="4">
        <v>-100</v>
      </c>
      <c r="Z29" s="15" t="s">
        <v>54</v>
      </c>
      <c r="AA29" s="2"/>
      <c r="AB29" s="45">
        <v>-15241.69</v>
      </c>
      <c r="AD29" s="15" t="s">
        <v>54</v>
      </c>
      <c r="AF29" s="4">
        <v>-22737</v>
      </c>
      <c r="AH29" s="15" t="s">
        <v>54</v>
      </c>
      <c r="AI29" s="2"/>
      <c r="AJ29" s="4">
        <v>-6396.75</v>
      </c>
      <c r="AL29" s="15" t="s">
        <v>54</v>
      </c>
      <c r="AM29" s="2"/>
      <c r="AN29" s="4">
        <f>-14069.25</f>
        <v>-14069.25</v>
      </c>
      <c r="AP29" s="15" t="s">
        <v>54</v>
      </c>
      <c r="AQ29" s="2"/>
      <c r="AR29" s="4">
        <v>-10638</v>
      </c>
      <c r="AT29" s="15" t="s">
        <v>54</v>
      </c>
      <c r="AU29" s="2"/>
      <c r="AV29" s="4">
        <f>-9883.98</f>
        <v>-9883.98</v>
      </c>
      <c r="AX29" s="15" t="s">
        <v>54</v>
      </c>
      <c r="AY29" s="2"/>
      <c r="AZ29" s="4">
        <v>-29939.82</v>
      </c>
      <c r="BB29" s="15" t="s">
        <v>54</v>
      </c>
      <c r="BC29" s="2"/>
      <c r="BD29" s="4">
        <v>0</v>
      </c>
      <c r="BF29" s="15" t="s">
        <v>54</v>
      </c>
      <c r="BG29" s="2"/>
      <c r="BH29" s="4">
        <v>-28273.25</v>
      </c>
    </row>
    <row r="30" spans="2:60" x14ac:dyDescent="0.3">
      <c r="B30" s="15" t="s">
        <v>46</v>
      </c>
      <c r="D30" s="32">
        <v>0</v>
      </c>
      <c r="F30" s="15" t="s">
        <v>46</v>
      </c>
      <c r="H30" s="32">
        <v>0</v>
      </c>
      <c r="J30" s="15" t="s">
        <v>46</v>
      </c>
      <c r="L30" s="32">
        <v>0</v>
      </c>
      <c r="N30" s="15" t="s">
        <v>46</v>
      </c>
      <c r="P30" s="10">
        <v>-200</v>
      </c>
      <c r="R30" s="15" t="s">
        <v>26</v>
      </c>
      <c r="S30" s="2"/>
      <c r="T30" s="4">
        <f>-(110745)</f>
        <v>-110745</v>
      </c>
      <c r="V30" s="15" t="s">
        <v>26</v>
      </c>
      <c r="W30" s="2"/>
      <c r="X30" s="4">
        <v>-57720</v>
      </c>
      <c r="Z30" s="15" t="s">
        <v>26</v>
      </c>
      <c r="AA30" s="2"/>
      <c r="AB30" s="45">
        <v>-156900</v>
      </c>
      <c r="AD30" s="15" t="s">
        <v>26</v>
      </c>
      <c r="AE30" s="2"/>
      <c r="AF30" s="31">
        <v>0</v>
      </c>
      <c r="AH30" s="15" t="s">
        <v>26</v>
      </c>
      <c r="AI30" s="2"/>
      <c r="AJ30" s="4">
        <v>-31855</v>
      </c>
      <c r="AL30" s="15" t="s">
        <v>26</v>
      </c>
      <c r="AM30" s="2"/>
      <c r="AN30" s="4">
        <v>-10000</v>
      </c>
      <c r="AP30" s="15" t="s">
        <v>26</v>
      </c>
      <c r="AQ30" s="2"/>
      <c r="AR30" s="4">
        <v>-50200</v>
      </c>
      <c r="AT30" s="15" t="s">
        <v>26</v>
      </c>
      <c r="AU30" s="2"/>
      <c r="AV30" s="4">
        <v>-97369</v>
      </c>
      <c r="AX30" s="15" t="s">
        <v>26</v>
      </c>
      <c r="AY30" s="2"/>
      <c r="AZ30" s="4">
        <v>0</v>
      </c>
      <c r="BB30" s="15" t="s">
        <v>26</v>
      </c>
      <c r="BC30" s="2"/>
      <c r="BD30" s="4">
        <v>0</v>
      </c>
      <c r="BF30" s="15" t="s">
        <v>26</v>
      </c>
      <c r="BG30" s="2"/>
      <c r="BH30" s="4">
        <v>-151870</v>
      </c>
    </row>
    <row r="31" spans="2:60" ht="13.5" thickBot="1" x14ac:dyDescent="0.35">
      <c r="B31" s="18" t="s">
        <v>27</v>
      </c>
      <c r="C31" s="2"/>
      <c r="D31" s="11">
        <f>D16+SUM(D25:D30)</f>
        <v>71474.242499999993</v>
      </c>
      <c r="F31" s="1" t="s">
        <v>27</v>
      </c>
      <c r="G31" s="2"/>
      <c r="H31" s="11">
        <f>H16+SUM(H25:H30)</f>
        <v>117779.83499999999</v>
      </c>
      <c r="J31" s="18" t="s">
        <v>27</v>
      </c>
      <c r="K31" s="2"/>
      <c r="L31" s="11">
        <f>L16+SUM(L25:L30)</f>
        <v>118080.88750000001</v>
      </c>
      <c r="N31" s="18" t="s">
        <v>27</v>
      </c>
      <c r="O31" s="2"/>
      <c r="P31" s="11">
        <f>P16+SUM(P25:P30)</f>
        <v>21185.317499999997</v>
      </c>
      <c r="R31" s="15" t="s">
        <v>46</v>
      </c>
      <c r="T31" s="32">
        <v>0</v>
      </c>
      <c r="V31" s="15" t="s">
        <v>54</v>
      </c>
      <c r="X31" s="2">
        <f>-'Pension Computation'!N8*30%</f>
        <v>-4788</v>
      </c>
      <c r="Z31" s="15" t="s">
        <v>46</v>
      </c>
      <c r="AB31" s="46">
        <v>0</v>
      </c>
      <c r="AD31" s="15" t="s">
        <v>46</v>
      </c>
      <c r="AF31" s="32">
        <v>0</v>
      </c>
      <c r="AG31" s="14"/>
      <c r="AH31" s="15" t="s">
        <v>32</v>
      </c>
      <c r="AJ31" s="4">
        <v>0</v>
      </c>
      <c r="AL31" s="15" t="s">
        <v>32</v>
      </c>
      <c r="AN31" s="4"/>
      <c r="AP31" s="15" t="s">
        <v>33</v>
      </c>
      <c r="AR31" s="4">
        <v>-5000</v>
      </c>
      <c r="AT31" s="15" t="s">
        <v>33</v>
      </c>
      <c r="AV31" s="4">
        <v>0</v>
      </c>
      <c r="AX31" s="15" t="s">
        <v>33</v>
      </c>
      <c r="AZ31" s="4">
        <v>0</v>
      </c>
      <c r="BB31" s="15" t="s">
        <v>33</v>
      </c>
      <c r="BD31" s="4">
        <v>0</v>
      </c>
      <c r="BF31" s="15" t="s">
        <v>33</v>
      </c>
      <c r="BH31" s="4">
        <v>0</v>
      </c>
    </row>
    <row r="32" spans="2:60" ht="14" thickTop="1" thickBot="1" x14ac:dyDescent="0.35">
      <c r="R32" s="18" t="s">
        <v>27</v>
      </c>
      <c r="S32" s="14"/>
      <c r="T32" s="22">
        <f>T16+SUM(T26:T31)</f>
        <v>102134.01847499999</v>
      </c>
      <c r="V32" s="18" t="s">
        <v>27</v>
      </c>
      <c r="W32" s="14"/>
      <c r="X32" s="22">
        <f>X16+SUM(X26:X31)</f>
        <v>79827.649999999994</v>
      </c>
      <c r="Z32" s="18" t="s">
        <v>27</v>
      </c>
      <c r="AA32" s="14"/>
      <c r="AB32" s="22">
        <f>AB16+SUM(AB26:AB31)</f>
        <v>265014.7996875</v>
      </c>
      <c r="AD32" s="18" t="s">
        <v>27</v>
      </c>
      <c r="AE32" s="14"/>
      <c r="AF32" s="22">
        <f>AF16+SUM(AF26:AF31)</f>
        <v>349771.05</v>
      </c>
      <c r="AG32" s="14"/>
      <c r="AH32" s="18" t="s">
        <v>27</v>
      </c>
      <c r="AI32" s="14"/>
      <c r="AJ32" s="22">
        <f>AJ16+SUM(AJ26:AJ31)</f>
        <v>118089.48125000001</v>
      </c>
      <c r="AL32" s="18" t="s">
        <v>27</v>
      </c>
      <c r="AM32" s="14"/>
      <c r="AN32" s="22">
        <f>AN16+SUM(AN26:AN31)</f>
        <v>291361.11875000002</v>
      </c>
      <c r="AP32" s="18" t="s">
        <v>27</v>
      </c>
      <c r="AQ32" s="14"/>
      <c r="AR32" s="22">
        <f>AR16+SUM(AR26:AR31)</f>
        <v>192692.65000000002</v>
      </c>
      <c r="AT32" s="18" t="s">
        <v>27</v>
      </c>
      <c r="AU32" s="14"/>
      <c r="AV32" s="22">
        <f>AV16+SUM(AV26:AV31)</f>
        <v>225380.34847500001</v>
      </c>
      <c r="AX32" s="18" t="s">
        <v>27</v>
      </c>
      <c r="AY32" s="14"/>
      <c r="AZ32" s="22">
        <f>AZ16+SUM(AZ26:AZ31)</f>
        <v>510546.20656249998</v>
      </c>
      <c r="BB32" s="18" t="s">
        <v>27</v>
      </c>
      <c r="BC32" s="14"/>
      <c r="BD32" s="22">
        <f>BD16+SUM(BD26:BD31)</f>
        <v>30071.5625</v>
      </c>
      <c r="BF32" s="18" t="s">
        <v>27</v>
      </c>
      <c r="BG32" s="14"/>
      <c r="BH32" s="22">
        <f>BH16+SUM(BH26:BH31)</f>
        <v>296136.14749999996</v>
      </c>
    </row>
    <row r="33" spans="2:60" ht="13.5" thickTop="1" x14ac:dyDescent="0.3">
      <c r="AG33" s="14"/>
      <c r="AH33" s="14"/>
      <c r="AX33" s="15"/>
    </row>
    <row r="34" spans="2:60" x14ac:dyDescent="0.3">
      <c r="B34" s="18" t="s">
        <v>34</v>
      </c>
      <c r="F34" s="14"/>
      <c r="G34" s="14"/>
      <c r="H34" s="14"/>
      <c r="AB34" s="16"/>
      <c r="AH34" s="14"/>
      <c r="AX34" s="15"/>
    </row>
    <row r="35" spans="2:60" x14ac:dyDescent="0.3">
      <c r="B35" s="18"/>
      <c r="F35" s="14"/>
      <c r="G35" s="14"/>
      <c r="H35" s="14"/>
      <c r="Z35" s="1"/>
      <c r="AA35" s="2"/>
      <c r="AB35" s="38"/>
      <c r="AF35" s="16"/>
      <c r="AH35" s="14"/>
      <c r="AX35" s="15"/>
    </row>
    <row r="36" spans="2:60" x14ac:dyDescent="0.3">
      <c r="B36" s="15" t="s">
        <v>0</v>
      </c>
      <c r="C36" s="14"/>
      <c r="D36" s="14">
        <v>125170</v>
      </c>
      <c r="F36" s="15" t="s">
        <v>0</v>
      </c>
      <c r="G36" s="14"/>
      <c r="H36" s="14">
        <f>'Pension Computation'!D4</f>
        <v>186340</v>
      </c>
      <c r="J36" s="15" t="s">
        <v>0</v>
      </c>
      <c r="K36" s="14"/>
      <c r="L36" s="14">
        <f>'Pension Computation'!D5</f>
        <v>290950</v>
      </c>
      <c r="N36" s="15" t="s">
        <v>0</v>
      </c>
      <c r="O36" s="14"/>
      <c r="P36" s="14">
        <f>P3</f>
        <v>64790</v>
      </c>
      <c r="R36" s="2" t="s">
        <v>0</v>
      </c>
      <c r="S36" s="2"/>
      <c r="T36" s="2">
        <f>T3</f>
        <v>333243.90000000002</v>
      </c>
      <c r="V36" s="15" t="s">
        <v>0</v>
      </c>
      <c r="X36" s="19">
        <v>220000</v>
      </c>
      <c r="Z36" s="15" t="s">
        <v>0</v>
      </c>
      <c r="AB36" s="14">
        <v>426250</v>
      </c>
      <c r="AD36" s="15" t="s">
        <v>0</v>
      </c>
      <c r="AF36" s="14">
        <v>580000</v>
      </c>
      <c r="AH36" s="15" t="s">
        <v>0</v>
      </c>
      <c r="AJ36" s="2">
        <v>255750</v>
      </c>
      <c r="AL36" s="15" t="s">
        <v>0</v>
      </c>
      <c r="AN36" s="2">
        <v>426250</v>
      </c>
      <c r="AP36" s="15" t="s">
        <v>0</v>
      </c>
      <c r="AR36" s="2">
        <v>350000</v>
      </c>
      <c r="AT36" s="15" t="s">
        <v>0</v>
      </c>
      <c r="AV36" s="2">
        <v>333243.90000000002</v>
      </c>
      <c r="AX36" s="15" t="s">
        <v>0</v>
      </c>
      <c r="AZ36" s="2">
        <f>AZ3</f>
        <v>727750</v>
      </c>
      <c r="BB36" s="15" t="s">
        <v>0</v>
      </c>
      <c r="BD36" s="2">
        <f>BD3</f>
        <v>38500</v>
      </c>
      <c r="BF36" s="15" t="s">
        <v>0</v>
      </c>
      <c r="BH36" s="2">
        <f>BH3</f>
        <v>693564</v>
      </c>
    </row>
    <row r="37" spans="2:60" x14ac:dyDescent="0.3">
      <c r="B37" s="18" t="s">
        <v>29</v>
      </c>
      <c r="C37" s="14"/>
      <c r="D37" s="23"/>
      <c r="F37" s="18" t="s">
        <v>29</v>
      </c>
      <c r="G37" s="14"/>
      <c r="H37" s="23"/>
      <c r="J37" s="18" t="s">
        <v>29</v>
      </c>
      <c r="K37" s="14"/>
      <c r="L37" s="23"/>
      <c r="N37" s="18" t="s">
        <v>29</v>
      </c>
      <c r="O37" s="14"/>
      <c r="P37" s="39"/>
      <c r="R37" s="18" t="s">
        <v>29</v>
      </c>
      <c r="S37" s="2"/>
      <c r="T37" s="19"/>
      <c r="V37" s="18" t="s">
        <v>29</v>
      </c>
      <c r="Z37" s="18" t="s">
        <v>29</v>
      </c>
      <c r="AA37" s="14"/>
      <c r="AB37" s="14"/>
      <c r="AD37" s="18" t="s">
        <v>29</v>
      </c>
      <c r="AE37" s="14"/>
      <c r="AF37" s="14"/>
      <c r="AH37" s="18" t="s">
        <v>29</v>
      </c>
      <c r="AI37" s="14"/>
      <c r="AJ37" s="14"/>
      <c r="AL37" s="18" t="s">
        <v>29</v>
      </c>
      <c r="AM37" s="14"/>
      <c r="AN37" s="14"/>
      <c r="AP37" s="18" t="s">
        <v>29</v>
      </c>
      <c r="AQ37" s="14"/>
      <c r="AR37" s="14"/>
      <c r="AT37" s="18" t="s">
        <v>29</v>
      </c>
      <c r="AU37" s="14"/>
      <c r="AV37" s="14"/>
      <c r="AX37" s="18" t="s">
        <v>29</v>
      </c>
      <c r="AY37" s="14"/>
      <c r="AZ37" s="14"/>
      <c r="BB37" s="18" t="s">
        <v>29</v>
      </c>
      <c r="BC37" s="14"/>
      <c r="BD37" s="14"/>
      <c r="BF37" s="18" t="s">
        <v>29</v>
      </c>
      <c r="BG37" s="14"/>
      <c r="BH37" s="14"/>
    </row>
    <row r="38" spans="2:60" x14ac:dyDescent="0.3">
      <c r="B38" s="15" t="s">
        <v>35</v>
      </c>
      <c r="C38" s="2"/>
      <c r="D38" s="19">
        <v>0</v>
      </c>
      <c r="F38" s="15" t="s">
        <v>35</v>
      </c>
      <c r="G38" s="2"/>
      <c r="H38" s="19">
        <v>0</v>
      </c>
      <c r="J38" s="15" t="s">
        <v>35</v>
      </c>
      <c r="K38" s="2"/>
      <c r="L38" s="19">
        <v>0</v>
      </c>
      <c r="N38" s="15" t="s">
        <v>35</v>
      </c>
      <c r="O38" s="2"/>
      <c r="P38" s="40">
        <v>0</v>
      </c>
      <c r="R38" s="15" t="s">
        <v>35</v>
      </c>
      <c r="S38" s="2"/>
      <c r="T38" s="19">
        <v>15000</v>
      </c>
      <c r="V38" s="15" t="s">
        <v>35</v>
      </c>
      <c r="X38" s="42">
        <v>0</v>
      </c>
      <c r="Z38" s="15" t="s">
        <v>35</v>
      </c>
      <c r="AA38" s="14"/>
      <c r="AB38" s="23">
        <v>20000</v>
      </c>
      <c r="AD38" s="15" t="s">
        <v>35</v>
      </c>
      <c r="AE38" s="14"/>
      <c r="AF38" s="23">
        <v>20000</v>
      </c>
      <c r="AH38" s="15" t="s">
        <v>35</v>
      </c>
      <c r="AI38" s="14"/>
      <c r="AJ38" s="23">
        <v>15000</v>
      </c>
      <c r="AL38" s="15" t="s">
        <v>35</v>
      </c>
      <c r="AM38" s="14"/>
      <c r="AN38" s="23">
        <v>20000</v>
      </c>
      <c r="AP38" s="15" t="s">
        <v>35</v>
      </c>
      <c r="AQ38" s="14"/>
      <c r="AR38" s="23">
        <v>15000</v>
      </c>
      <c r="AT38" s="15" t="s">
        <v>35</v>
      </c>
      <c r="AU38" s="14"/>
      <c r="AV38" s="23">
        <v>15000</v>
      </c>
      <c r="AX38" s="15" t="s">
        <v>35</v>
      </c>
      <c r="AY38" s="14"/>
      <c r="AZ38" s="23">
        <f>AZ5</f>
        <v>50000</v>
      </c>
      <c r="BB38" s="15" t="s">
        <v>35</v>
      </c>
      <c r="BC38" s="14"/>
      <c r="BD38" s="23">
        <f>BD5</f>
        <v>0</v>
      </c>
      <c r="BF38" s="15" t="s">
        <v>35</v>
      </c>
      <c r="BG38" s="14"/>
      <c r="BH38" s="23">
        <f>BH5</f>
        <v>20000</v>
      </c>
    </row>
    <row r="39" spans="2:60" x14ac:dyDescent="0.3">
      <c r="B39" s="15" t="s">
        <v>36</v>
      </c>
      <c r="D39" s="19">
        <v>0</v>
      </c>
      <c r="F39" s="15" t="s">
        <v>36</v>
      </c>
      <c r="H39" s="19">
        <v>0</v>
      </c>
      <c r="J39" s="15" t="s">
        <v>36</v>
      </c>
      <c r="K39" s="2"/>
      <c r="L39" s="19">
        <v>0</v>
      </c>
      <c r="N39" s="15" t="s">
        <v>36</v>
      </c>
      <c r="O39" s="2"/>
      <c r="P39" s="40">
        <v>0</v>
      </c>
      <c r="R39" s="15" t="s">
        <v>36</v>
      </c>
      <c r="T39" s="2">
        <v>33324</v>
      </c>
      <c r="V39" s="15" t="s">
        <v>36</v>
      </c>
      <c r="W39" s="2"/>
      <c r="X39" s="40">
        <f>X4</f>
        <v>0</v>
      </c>
      <c r="Z39" s="15" t="s">
        <v>36</v>
      </c>
      <c r="AA39" s="2"/>
      <c r="AB39" s="19">
        <v>42625</v>
      </c>
      <c r="AD39" s="15" t="s">
        <v>36</v>
      </c>
      <c r="AE39" s="2"/>
      <c r="AF39" s="19">
        <v>58000</v>
      </c>
      <c r="AH39" s="15" t="s">
        <v>36</v>
      </c>
      <c r="AI39" s="2"/>
      <c r="AJ39" s="19">
        <v>25575</v>
      </c>
      <c r="AL39" s="15" t="s">
        <v>36</v>
      </c>
      <c r="AM39" s="2"/>
      <c r="AN39" s="19">
        <v>42625</v>
      </c>
      <c r="AP39" s="15" t="s">
        <v>36</v>
      </c>
      <c r="AQ39" s="2"/>
      <c r="AR39" s="19">
        <v>35000</v>
      </c>
      <c r="AT39" s="15" t="s">
        <v>36</v>
      </c>
      <c r="AU39" s="2"/>
      <c r="AV39" s="19">
        <v>33324</v>
      </c>
      <c r="AX39" s="15" t="s">
        <v>36</v>
      </c>
      <c r="AY39" s="2"/>
      <c r="AZ39" s="23">
        <f t="shared" ref="AZ39:AZ40" si="0">AZ6</f>
        <v>72775</v>
      </c>
      <c r="BB39" s="15" t="s">
        <v>36</v>
      </c>
      <c r="BC39" s="2"/>
      <c r="BD39" s="23">
        <f t="shared" ref="BD39:BD40" si="1">BD6</f>
        <v>0</v>
      </c>
      <c r="BF39" s="15" t="s">
        <v>36</v>
      </c>
      <c r="BG39" s="2"/>
      <c r="BH39" s="23">
        <f t="shared" ref="BH39:BH40" si="2">BH6</f>
        <v>69356</v>
      </c>
    </row>
    <row r="40" spans="2:60" x14ac:dyDescent="0.3">
      <c r="B40" s="15" t="s">
        <v>40</v>
      </c>
      <c r="D40" s="8">
        <v>0</v>
      </c>
      <c r="F40" s="15" t="s">
        <v>40</v>
      </c>
      <c r="H40" s="8">
        <v>0</v>
      </c>
      <c r="J40" s="15" t="s">
        <v>40</v>
      </c>
      <c r="K40" s="2"/>
      <c r="L40" s="8">
        <v>0</v>
      </c>
      <c r="N40" s="15" t="s">
        <v>40</v>
      </c>
      <c r="O40" s="2"/>
      <c r="P40" s="41">
        <v>0</v>
      </c>
      <c r="R40" s="15" t="s">
        <v>40</v>
      </c>
      <c r="S40" s="2"/>
      <c r="T40" s="41">
        <v>0</v>
      </c>
      <c r="V40" s="15" t="s">
        <v>40</v>
      </c>
      <c r="W40" s="2"/>
      <c r="X40" s="43">
        <v>0</v>
      </c>
      <c r="Z40" s="15" t="s">
        <v>40</v>
      </c>
      <c r="AA40" s="2"/>
      <c r="AB40" s="19">
        <v>194170</v>
      </c>
      <c r="AD40" s="15" t="s">
        <v>40</v>
      </c>
      <c r="AE40" s="2"/>
      <c r="AF40" s="19">
        <v>0</v>
      </c>
      <c r="AH40" s="15" t="s">
        <v>40</v>
      </c>
      <c r="AI40" s="2"/>
      <c r="AJ40" s="19">
        <v>0</v>
      </c>
      <c r="AL40" s="15" t="s">
        <v>40</v>
      </c>
      <c r="AM40" s="2"/>
      <c r="AN40" s="19">
        <v>0</v>
      </c>
      <c r="AP40" s="15" t="s">
        <v>40</v>
      </c>
      <c r="AQ40" s="2"/>
      <c r="AR40" s="19">
        <v>0</v>
      </c>
      <c r="AT40" s="15" t="s">
        <v>40</v>
      </c>
      <c r="AU40" s="2"/>
      <c r="AV40" s="19">
        <v>124540</v>
      </c>
      <c r="AX40" s="15" t="s">
        <v>40</v>
      </c>
      <c r="AY40" s="2"/>
      <c r="AZ40" s="23">
        <f t="shared" si="0"/>
        <v>0</v>
      </c>
      <c r="BB40" s="15" t="s">
        <v>40</v>
      </c>
      <c r="BC40" s="2"/>
      <c r="BD40" s="23">
        <f t="shared" si="1"/>
        <v>0</v>
      </c>
      <c r="BF40" s="15" t="s">
        <v>40</v>
      </c>
      <c r="BG40" s="2"/>
      <c r="BH40" s="23">
        <f t="shared" si="2"/>
        <v>0</v>
      </c>
    </row>
    <row r="41" spans="2:60" x14ac:dyDescent="0.3">
      <c r="B41" s="18" t="s">
        <v>2</v>
      </c>
      <c r="C41" s="2"/>
      <c r="D41" s="12">
        <f>SUM(D36:D40)</f>
        <v>125170</v>
      </c>
      <c r="F41" s="15" t="s">
        <v>2</v>
      </c>
      <c r="G41" s="2"/>
      <c r="H41" s="12">
        <f>SUM(H36:H40)</f>
        <v>186340</v>
      </c>
      <c r="J41" s="15" t="s">
        <v>2</v>
      </c>
      <c r="L41" s="12">
        <f>SUM(L36:L40)</f>
        <v>290950</v>
      </c>
      <c r="N41" s="15" t="s">
        <v>2</v>
      </c>
      <c r="P41" s="20">
        <f>SUM(P36:P40)</f>
        <v>64790</v>
      </c>
      <c r="R41" s="15" t="s">
        <v>2</v>
      </c>
      <c r="S41" s="2"/>
      <c r="T41" s="24">
        <f>SUM(T36:T40)</f>
        <v>381567.9</v>
      </c>
      <c r="V41" s="15" t="s">
        <v>2</v>
      </c>
      <c r="W41" s="2"/>
      <c r="X41" s="12">
        <f>SUM(X36:X40)</f>
        <v>220000</v>
      </c>
      <c r="Z41" s="15" t="s">
        <v>2</v>
      </c>
      <c r="AA41" s="2"/>
      <c r="AB41" s="24">
        <f>SUM(AB36:AB40)</f>
        <v>683045</v>
      </c>
      <c r="AD41" s="15" t="s">
        <v>2</v>
      </c>
      <c r="AE41" s="2"/>
      <c r="AF41" s="24">
        <f>SUM(AF36:AF40)</f>
        <v>658000</v>
      </c>
      <c r="AH41" s="15" t="s">
        <v>2</v>
      </c>
      <c r="AI41" s="2"/>
      <c r="AJ41" s="24">
        <f>SUM(AJ36:AJ40)</f>
        <v>296325</v>
      </c>
      <c r="AL41" s="15" t="s">
        <v>2</v>
      </c>
      <c r="AM41" s="2"/>
      <c r="AN41" s="24">
        <f>SUM(AN36:AN40)</f>
        <v>488875</v>
      </c>
      <c r="AP41" s="15" t="s">
        <v>2</v>
      </c>
      <c r="AQ41" s="2"/>
      <c r="AR41" s="24">
        <f>SUM(AR36:AR40)</f>
        <v>400000</v>
      </c>
      <c r="AT41" s="15" t="s">
        <v>2</v>
      </c>
      <c r="AU41" s="2"/>
      <c r="AV41" s="24">
        <f>SUM(AV36:AV40)</f>
        <v>506107.9</v>
      </c>
      <c r="AX41" s="15" t="s">
        <v>2</v>
      </c>
      <c r="AY41" s="2"/>
      <c r="AZ41" s="24">
        <f>SUM(AZ36:AZ40)</f>
        <v>850525</v>
      </c>
      <c r="BB41" s="15" t="s">
        <v>2</v>
      </c>
      <c r="BC41" s="2"/>
      <c r="BD41" s="24">
        <f>SUM(BD36:BD40)</f>
        <v>38500</v>
      </c>
      <c r="BF41" s="15" t="s">
        <v>2</v>
      </c>
      <c r="BG41" s="2"/>
      <c r="BH41" s="24">
        <f>SUM(BH36:BH40)</f>
        <v>782920</v>
      </c>
    </row>
    <row r="42" spans="2:60" x14ac:dyDescent="0.3">
      <c r="F42" s="2"/>
      <c r="G42" s="2"/>
      <c r="H42" s="2"/>
      <c r="AH42" s="15"/>
      <c r="AX42" s="15"/>
    </row>
    <row r="43" spans="2:60" x14ac:dyDescent="0.3">
      <c r="B43" s="1" t="s">
        <v>28</v>
      </c>
      <c r="C43" s="2"/>
      <c r="D43" s="2"/>
      <c r="F43" s="1" t="s">
        <v>28</v>
      </c>
      <c r="G43" s="2"/>
      <c r="H43" s="2"/>
      <c r="J43" s="1" t="s">
        <v>28</v>
      </c>
      <c r="K43" s="2"/>
      <c r="L43" s="2"/>
      <c r="O43" s="2"/>
      <c r="P43" s="2"/>
      <c r="AH43" s="15"/>
      <c r="AX43" s="15"/>
    </row>
    <row r="44" spans="2:60" x14ac:dyDescent="0.3">
      <c r="B44" s="15" t="s">
        <v>13</v>
      </c>
      <c r="C44" s="2"/>
      <c r="D44" s="2">
        <f>-IF(D41&gt;9000,9000*6%,E41*6%)</f>
        <v>-540</v>
      </c>
      <c r="F44" s="15" t="s">
        <v>13</v>
      </c>
      <c r="G44" s="2"/>
      <c r="H44" s="2">
        <f>-IF(H41&gt;9000,9000*6%,I41*6%)</f>
        <v>-540</v>
      </c>
      <c r="J44" s="15" t="s">
        <v>13</v>
      </c>
      <c r="K44" s="2"/>
      <c r="L44" s="2">
        <f>-IF(L41&gt;9000,9000*6%,M41*6%)</f>
        <v>-540</v>
      </c>
      <c r="N44" s="18" t="s">
        <v>28</v>
      </c>
      <c r="O44" s="2"/>
      <c r="R44" s="18" t="s">
        <v>28</v>
      </c>
      <c r="S44" s="2"/>
      <c r="T44" s="2"/>
      <c r="V44" s="18" t="s">
        <v>28</v>
      </c>
      <c r="W44" s="2"/>
      <c r="X44" s="2"/>
      <c r="Z44" s="18" t="s">
        <v>28</v>
      </c>
      <c r="AA44" s="2"/>
      <c r="AB44" s="2"/>
      <c r="AD44" s="18" t="s">
        <v>28</v>
      </c>
      <c r="AE44" s="2"/>
      <c r="AF44" s="2"/>
      <c r="AH44" s="18" t="s">
        <v>28</v>
      </c>
      <c r="AI44" s="2"/>
      <c r="AJ44" s="2"/>
      <c r="AL44" s="18" t="s">
        <v>28</v>
      </c>
      <c r="AM44" s="2"/>
      <c r="AN44" s="2"/>
      <c r="AP44" s="18" t="s">
        <v>28</v>
      </c>
      <c r="AQ44" s="2"/>
      <c r="AR44" s="2"/>
      <c r="AT44" s="18" t="s">
        <v>28</v>
      </c>
      <c r="AU44" s="2"/>
      <c r="AV44" s="2"/>
      <c r="AX44" s="18" t="s">
        <v>28</v>
      </c>
      <c r="AY44" s="2"/>
      <c r="AZ44" s="2"/>
      <c r="BB44" s="18" t="s">
        <v>28</v>
      </c>
      <c r="BC44" s="2"/>
      <c r="BD44" s="2"/>
      <c r="BF44" s="18" t="s">
        <v>28</v>
      </c>
      <c r="BG44" s="2"/>
      <c r="BH44" s="2"/>
    </row>
    <row r="45" spans="2:60" x14ac:dyDescent="0.3">
      <c r="B45" s="15" t="s">
        <v>14</v>
      </c>
      <c r="C45" s="2"/>
      <c r="D45" s="2">
        <f>-IF(D41&gt;99000,99000*6%,D41*6%-540)</f>
        <v>-5940</v>
      </c>
      <c r="F45" s="15" t="s">
        <v>14</v>
      </c>
      <c r="G45" s="2"/>
      <c r="H45" s="2">
        <f>-IF(H41&gt;99000,99000*6%,H41*6%-540)</f>
        <v>-5940</v>
      </c>
      <c r="J45" s="15" t="s">
        <v>14</v>
      </c>
      <c r="K45" s="2"/>
      <c r="L45" s="2">
        <f>-IF(L41&gt;99000,99000*6%,L41*6%-540)</f>
        <v>-5940</v>
      </c>
      <c r="N45" s="15" t="s">
        <v>13</v>
      </c>
      <c r="O45" s="2"/>
      <c r="P45" s="2">
        <f>-IF(P41&gt;9000,9000*6%,Q41*6%)</f>
        <v>-540</v>
      </c>
      <c r="R45" s="15" t="s">
        <v>13</v>
      </c>
      <c r="S45" s="2"/>
      <c r="T45" s="2">
        <f>-IF(T41&gt;9000,540,6%*T41)</f>
        <v>-540</v>
      </c>
      <c r="V45" s="15" t="s">
        <v>13</v>
      </c>
      <c r="W45" s="2"/>
      <c r="X45" s="2">
        <f>-IF(X41&gt;9000,540,6%*X41)</f>
        <v>-540</v>
      </c>
      <c r="Z45" s="15" t="s">
        <v>13</v>
      </c>
      <c r="AA45" s="2"/>
      <c r="AB45" s="2">
        <f>-IF(AB41&gt;9000,540,6%*AB41)</f>
        <v>-540</v>
      </c>
      <c r="AD45" s="15" t="s">
        <v>13</v>
      </c>
      <c r="AE45" s="2"/>
      <c r="AF45" s="2">
        <f>-IF(AF41&gt;9000,540,6%*AF41)</f>
        <v>-540</v>
      </c>
      <c r="AH45" s="15" t="s">
        <v>13</v>
      </c>
      <c r="AI45" s="2"/>
      <c r="AJ45" s="2">
        <f>-IF(AJ41&gt;9000,540,6%*AJ41)</f>
        <v>-540</v>
      </c>
      <c r="AL45" s="15" t="s">
        <v>13</v>
      </c>
      <c r="AM45" s="2"/>
      <c r="AN45" s="2">
        <f>-IF(AN41&gt;9000,540,6%*AN41)</f>
        <v>-540</v>
      </c>
      <c r="AP45" s="15" t="s">
        <v>13</v>
      </c>
      <c r="AQ45" s="2"/>
      <c r="AR45" s="2">
        <f>-IF(AR41&gt;9000,540,6%*AR41)</f>
        <v>-540</v>
      </c>
      <c r="AT45" s="15" t="s">
        <v>13</v>
      </c>
      <c r="AU45" s="2"/>
      <c r="AV45" s="2">
        <f>-IF(AV41&gt;9000,540,6%*AV41)</f>
        <v>-540</v>
      </c>
      <c r="AX45" s="15" t="s">
        <v>13</v>
      </c>
      <c r="AY45" s="2"/>
      <c r="AZ45" s="2">
        <f>-IF(AZ41&gt;9000,540,6%*AZ41)</f>
        <v>-540</v>
      </c>
      <c r="BB45" s="15" t="s">
        <v>13</v>
      </c>
      <c r="BC45" s="2"/>
      <c r="BD45" s="2">
        <f>-IF(BD41&gt;9000,540,6%*BD41)</f>
        <v>-540</v>
      </c>
      <c r="BF45" s="15" t="s">
        <v>13</v>
      </c>
      <c r="BG45" s="2"/>
      <c r="BH45" s="2">
        <f>-IF(BH41&gt;9000,540,6%*BH41)</f>
        <v>-540</v>
      </c>
    </row>
    <row r="46" spans="2:60" x14ac:dyDescent="0.3">
      <c r="B46" s="15" t="s">
        <v>15</v>
      </c>
      <c r="C46" s="2"/>
      <c r="D46" s="2">
        <f>-2.75%*D41</f>
        <v>-3442.1750000000002</v>
      </c>
      <c r="F46" s="15" t="s">
        <v>15</v>
      </c>
      <c r="G46" s="2"/>
      <c r="H46" s="2">
        <f>-2.75%*H41</f>
        <v>-5124.3500000000004</v>
      </c>
      <c r="J46" s="15" t="s">
        <v>15</v>
      </c>
      <c r="K46" s="2"/>
      <c r="L46" s="2">
        <f>-2.75%*L41</f>
        <v>-8001.125</v>
      </c>
      <c r="N46" s="15" t="s">
        <v>14</v>
      </c>
      <c r="O46" s="2"/>
      <c r="P46" s="2">
        <f>-IF(P41&gt;99000,99000*6%,P41*6%-540)</f>
        <v>-3347.3999999999996</v>
      </c>
      <c r="R46" s="15" t="s">
        <v>14</v>
      </c>
      <c r="S46" s="2"/>
      <c r="T46" s="2">
        <f>-IF(T41&gt;99000,99000*6%,T41*6%-540)</f>
        <v>-5940</v>
      </c>
      <c r="V46" s="15" t="s">
        <v>14</v>
      </c>
      <c r="W46" s="2"/>
      <c r="X46" s="2">
        <f>-IF(X41&gt;99000,99000*6%,X41*6%-540)</f>
        <v>-5940</v>
      </c>
      <c r="Z46" s="15" t="s">
        <v>14</v>
      </c>
      <c r="AA46" s="2"/>
      <c r="AB46" s="2">
        <f>-IF(AB41&gt;99000,99000*6%,AB41*6%-540)</f>
        <v>-5940</v>
      </c>
      <c r="AD46" s="15" t="s">
        <v>14</v>
      </c>
      <c r="AE46" s="2"/>
      <c r="AF46" s="2">
        <f>-IF(AF41&gt;99000,99000*6%,AF41*6%-540)</f>
        <v>-5940</v>
      </c>
      <c r="AH46" s="15" t="s">
        <v>14</v>
      </c>
      <c r="AI46" s="2"/>
      <c r="AJ46" s="2">
        <f>-IF(AJ41&gt;99000,99000*6%,AJ41*6%-540)</f>
        <v>-5940</v>
      </c>
      <c r="AL46" s="15" t="s">
        <v>14</v>
      </c>
      <c r="AM46" s="2"/>
      <c r="AN46" s="2">
        <f>-IF(AN41&gt;99000,99000*6%,AN41*6%-540)</f>
        <v>-5940</v>
      </c>
      <c r="AP46" s="15" t="s">
        <v>14</v>
      </c>
      <c r="AQ46" s="2"/>
      <c r="AR46" s="2">
        <f>-IF(AR41&gt;99000,99000*6%,AR41*6%-540)</f>
        <v>-5940</v>
      </c>
      <c r="AT46" s="15" t="s">
        <v>14</v>
      </c>
      <c r="AU46" s="2"/>
      <c r="AV46" s="2">
        <f>-IF(AV41&gt;99000,99000*6%,AV41*6%-540)</f>
        <v>-5940</v>
      </c>
      <c r="AX46" s="15" t="s">
        <v>14</v>
      </c>
      <c r="AY46" s="2"/>
      <c r="AZ46" s="2">
        <f>-IF(AZ41&gt;99000,99000*6%,AZ41*6%-540)</f>
        <v>-5940</v>
      </c>
      <c r="BB46" s="15" t="s">
        <v>14</v>
      </c>
      <c r="BC46" s="2"/>
      <c r="BD46" s="2">
        <f>-IF(BD41&gt;99000,99000*6%,BD41*6%-540)</f>
        <v>-1770</v>
      </c>
      <c r="BF46" s="15" t="s">
        <v>14</v>
      </c>
      <c r="BG46" s="2"/>
      <c r="BH46" s="2">
        <f>-IF(BH41&gt;99000,99000*6%,BH41*6%-540)</f>
        <v>-5940</v>
      </c>
    </row>
    <row r="47" spans="2:60" x14ac:dyDescent="0.3">
      <c r="B47" s="15" t="s">
        <v>16</v>
      </c>
      <c r="C47" s="2"/>
      <c r="D47" s="2">
        <f>-5%*D41</f>
        <v>-6258.5</v>
      </c>
      <c r="F47" s="15" t="s">
        <v>16</v>
      </c>
      <c r="G47" s="2"/>
      <c r="H47" s="2">
        <f>-5%*H41</f>
        <v>-9317</v>
      </c>
      <c r="J47" s="15" t="s">
        <v>16</v>
      </c>
      <c r="K47" s="2"/>
      <c r="L47" s="2">
        <f>-5%*L41</f>
        <v>-14547.5</v>
      </c>
      <c r="N47" s="15" t="s">
        <v>15</v>
      </c>
      <c r="O47" s="2"/>
      <c r="P47" s="2">
        <f>-2.75%*P41</f>
        <v>-1781.7249999999999</v>
      </c>
      <c r="R47" s="15" t="s">
        <v>15</v>
      </c>
      <c r="S47" s="2"/>
      <c r="T47" s="2">
        <f>-2.75%*T41</f>
        <v>-10493.117250000001</v>
      </c>
      <c r="V47" s="15" t="s">
        <v>15</v>
      </c>
      <c r="W47" s="2"/>
      <c r="X47" s="2">
        <f>-2.75%*X41</f>
        <v>-6050</v>
      </c>
      <c r="Z47" s="15" t="s">
        <v>15</v>
      </c>
      <c r="AA47" s="2"/>
      <c r="AB47" s="2">
        <f>-2.75%*AB41</f>
        <v>-18783.737499999999</v>
      </c>
      <c r="AD47" s="15" t="s">
        <v>15</v>
      </c>
      <c r="AE47" s="2"/>
      <c r="AF47" s="2">
        <f>-2.75%*AF41</f>
        <v>-18095</v>
      </c>
      <c r="AH47" s="15" t="s">
        <v>15</v>
      </c>
      <c r="AI47" s="2"/>
      <c r="AJ47" s="2">
        <f>-2.75%*AJ41</f>
        <v>-8148.9375</v>
      </c>
      <c r="AL47" s="15" t="s">
        <v>15</v>
      </c>
      <c r="AM47" s="2"/>
      <c r="AN47" s="2">
        <f>-2.75%*AN41</f>
        <v>-13444.0625</v>
      </c>
      <c r="AP47" s="15" t="s">
        <v>15</v>
      </c>
      <c r="AQ47" s="2"/>
      <c r="AR47" s="2">
        <f>-2.75%*AR41</f>
        <v>-11000</v>
      </c>
      <c r="AT47" s="15" t="s">
        <v>15</v>
      </c>
      <c r="AU47" s="2"/>
      <c r="AV47" s="2">
        <f>-2.75%*AV41</f>
        <v>-13917.967250000002</v>
      </c>
      <c r="AX47" s="15" t="s">
        <v>15</v>
      </c>
      <c r="AY47" s="2"/>
      <c r="AZ47" s="2">
        <f>-2.75%*AZ41</f>
        <v>-23389.4375</v>
      </c>
      <c r="BB47" s="15" t="s">
        <v>15</v>
      </c>
      <c r="BC47" s="2"/>
      <c r="BD47" s="2">
        <f>-2.75%*BD41</f>
        <v>-1058.75</v>
      </c>
      <c r="BF47" s="15" t="s">
        <v>15</v>
      </c>
      <c r="BG47" s="2"/>
      <c r="BH47" s="2">
        <f>-2.75%*BH41</f>
        <v>-21530.3</v>
      </c>
    </row>
    <row r="48" spans="2:60" x14ac:dyDescent="0.3">
      <c r="B48" s="15" t="s">
        <v>17</v>
      </c>
      <c r="C48" s="2"/>
      <c r="D48" s="8">
        <f>-1.5%*D41</f>
        <v>-1877.55</v>
      </c>
      <c r="F48" s="15" t="s">
        <v>17</v>
      </c>
      <c r="G48" s="2"/>
      <c r="H48" s="8">
        <f>-1.5%*H41</f>
        <v>-2795.1</v>
      </c>
      <c r="J48" s="15" t="s">
        <v>17</v>
      </c>
      <c r="K48" s="2"/>
      <c r="L48" s="8">
        <f>-1.5%*L41</f>
        <v>-4364.25</v>
      </c>
      <c r="N48" s="15" t="s">
        <v>16</v>
      </c>
      <c r="O48" s="2"/>
      <c r="P48" s="2">
        <f>-5%*P41</f>
        <v>-3239.5</v>
      </c>
      <c r="R48" s="15" t="s">
        <v>16</v>
      </c>
      <c r="S48" s="2"/>
      <c r="T48" s="2">
        <f>-5%*T41</f>
        <v>-19078.395</v>
      </c>
      <c r="V48" s="15" t="s">
        <v>16</v>
      </c>
      <c r="W48" s="2"/>
      <c r="X48" s="2">
        <f>-5%*X41</f>
        <v>-11000</v>
      </c>
      <c r="Z48" s="15" t="s">
        <v>16</v>
      </c>
      <c r="AA48" s="2"/>
      <c r="AB48" s="2">
        <f>-IF(5%*AB41&gt;23520,23520,AB41*5%)</f>
        <v>-23520</v>
      </c>
      <c r="AD48" s="15" t="s">
        <v>16</v>
      </c>
      <c r="AE48" s="2"/>
      <c r="AF48" s="2">
        <f>-IF(5%*AF41&gt;23520,23520,AF41*5%)</f>
        <v>-23520</v>
      </c>
      <c r="AH48" s="15" t="s">
        <v>16</v>
      </c>
      <c r="AI48" s="2"/>
      <c r="AJ48" s="2">
        <f>-IF(5%*AJ41&gt;23520,23520,AJ41*5%)</f>
        <v>-14816.25</v>
      </c>
      <c r="AL48" s="15" t="s">
        <v>16</v>
      </c>
      <c r="AM48" s="2"/>
      <c r="AN48" s="2">
        <f>-IF(5%*AN41&gt;23520,23520,AN41*5%)</f>
        <v>-23520</v>
      </c>
      <c r="AP48" s="15" t="s">
        <v>16</v>
      </c>
      <c r="AQ48" s="2"/>
      <c r="AR48" s="2">
        <f>-IF(5%*AR41&gt;23520,23520,AR41*5%)</f>
        <v>-20000</v>
      </c>
      <c r="AT48" s="15" t="s">
        <v>16</v>
      </c>
      <c r="AU48" s="2"/>
      <c r="AV48" s="2">
        <f>-IF(5%*AV41&gt;23520,23520,AV41*5%)</f>
        <v>-23520</v>
      </c>
      <c r="AX48" s="15" t="s">
        <v>16</v>
      </c>
      <c r="AY48" s="2"/>
      <c r="AZ48" s="2">
        <f>-IF(5%*AZ41&gt;23520,23520,AZ41*5%)</f>
        <v>-23520</v>
      </c>
      <c r="BB48" s="15" t="s">
        <v>16</v>
      </c>
      <c r="BC48" s="2"/>
      <c r="BD48" s="2">
        <f>-IF(5%*BD41&gt;23520,23520,BD41*5%)</f>
        <v>-1925</v>
      </c>
      <c r="BF48" s="15" t="s">
        <v>16</v>
      </c>
      <c r="BG48" s="2"/>
      <c r="BH48" s="2">
        <f>-IF(5%*BH41&gt;23520,23520,BH41*5%)</f>
        <v>-23520</v>
      </c>
    </row>
    <row r="49" spans="2:60" x14ac:dyDescent="0.3">
      <c r="B49" s="15" t="s">
        <v>18</v>
      </c>
      <c r="C49" s="2"/>
      <c r="D49" s="2">
        <f>SUM(D41:D48)</f>
        <v>107111.77499999999</v>
      </c>
      <c r="F49" s="15" t="s">
        <v>18</v>
      </c>
      <c r="G49" s="2"/>
      <c r="H49" s="2">
        <f>SUM(H41:H48)</f>
        <v>162623.54999999999</v>
      </c>
      <c r="J49" s="15" t="s">
        <v>18</v>
      </c>
      <c r="K49" s="2"/>
      <c r="L49" s="2">
        <f>SUM(L41:L48)</f>
        <v>257557.125</v>
      </c>
      <c r="N49" s="15" t="s">
        <v>17</v>
      </c>
      <c r="O49" s="2"/>
      <c r="P49" s="8">
        <f>-1.5%*P41</f>
        <v>-971.84999999999991</v>
      </c>
      <c r="R49" s="15" t="s">
        <v>17</v>
      </c>
      <c r="S49" s="2"/>
      <c r="T49" s="8">
        <f>-1.5%*T41</f>
        <v>-5723.5185000000001</v>
      </c>
      <c r="V49" s="15" t="s">
        <v>17</v>
      </c>
      <c r="W49" s="2"/>
      <c r="X49" s="8">
        <f>-1.5%*X41</f>
        <v>-3300</v>
      </c>
      <c r="Z49" s="15" t="s">
        <v>17</v>
      </c>
      <c r="AA49" s="2"/>
      <c r="AB49" s="8">
        <f>-1.5%*AB41</f>
        <v>-10245.674999999999</v>
      </c>
      <c r="AD49" s="15" t="s">
        <v>17</v>
      </c>
      <c r="AE49" s="2"/>
      <c r="AF49" s="8">
        <f>-1.5%*AF41</f>
        <v>-9870</v>
      </c>
      <c r="AH49" s="15" t="s">
        <v>17</v>
      </c>
      <c r="AI49" s="2"/>
      <c r="AJ49" s="8">
        <f>-1.5%*AJ41</f>
        <v>-4444.875</v>
      </c>
      <c r="AL49" s="15" t="s">
        <v>17</v>
      </c>
      <c r="AM49" s="2"/>
      <c r="AN49" s="8">
        <f>-1.5%*AN41</f>
        <v>-7333.125</v>
      </c>
      <c r="AP49" s="15" t="s">
        <v>17</v>
      </c>
      <c r="AQ49" s="2"/>
      <c r="AR49" s="8">
        <f>-1.5%*AR41</f>
        <v>-6000</v>
      </c>
      <c r="AT49" s="15" t="s">
        <v>17</v>
      </c>
      <c r="AU49" s="2"/>
      <c r="AV49" s="8">
        <f>-1.5%*AV41</f>
        <v>-7591.6185000000005</v>
      </c>
      <c r="AX49" s="15" t="s">
        <v>17</v>
      </c>
      <c r="AY49" s="2"/>
      <c r="AZ49" s="8">
        <f>-1.5%*AZ41</f>
        <v>-12757.875</v>
      </c>
      <c r="BB49" s="15" t="s">
        <v>17</v>
      </c>
      <c r="BC49" s="2"/>
      <c r="BD49" s="8">
        <f>-1.5%*BD41</f>
        <v>-577.5</v>
      </c>
      <c r="BF49" s="15" t="s">
        <v>17</v>
      </c>
      <c r="BG49" s="2"/>
      <c r="BH49" s="8">
        <f>-1.5%*BH41</f>
        <v>-11743.8</v>
      </c>
    </row>
    <row r="50" spans="2:60" x14ac:dyDescent="0.3">
      <c r="B50" s="15" t="s">
        <v>48</v>
      </c>
      <c r="C50" s="2"/>
      <c r="D50" s="2">
        <v>0</v>
      </c>
      <c r="F50" s="15" t="s">
        <v>48</v>
      </c>
      <c r="G50" s="2"/>
      <c r="H50" s="2">
        <v>0</v>
      </c>
      <c r="J50" s="15" t="s">
        <v>48</v>
      </c>
      <c r="K50" s="2"/>
      <c r="L50" s="2">
        <v>0</v>
      </c>
      <c r="N50" s="15" t="s">
        <v>18</v>
      </c>
      <c r="O50" s="2"/>
      <c r="P50" s="1">
        <f>SUM(P41:P49)</f>
        <v>54909.525000000001</v>
      </c>
      <c r="R50" s="15" t="s">
        <v>18</v>
      </c>
      <c r="S50" s="2"/>
      <c r="T50" s="1">
        <f>SUM(T41:T49)</f>
        <v>339792.86924999999</v>
      </c>
      <c r="V50" s="15" t="s">
        <v>18</v>
      </c>
      <c r="W50" s="2"/>
      <c r="X50" s="1">
        <f>SUM(X41:X49)</f>
        <v>193170</v>
      </c>
      <c r="Z50" s="15" t="s">
        <v>18</v>
      </c>
      <c r="AA50" s="2"/>
      <c r="AB50" s="1">
        <f>SUM(AB41:AB49)</f>
        <v>624015.58749999991</v>
      </c>
      <c r="AD50" s="15" t="s">
        <v>18</v>
      </c>
      <c r="AE50" s="2"/>
      <c r="AF50" s="1">
        <f>SUM(AF41:AF49)</f>
        <v>600035</v>
      </c>
      <c r="AH50" s="15" t="s">
        <v>18</v>
      </c>
      <c r="AI50" s="2"/>
      <c r="AJ50" s="1">
        <f>SUM(AJ41:AJ49)</f>
        <v>262434.9375</v>
      </c>
      <c r="AL50" s="15" t="s">
        <v>18</v>
      </c>
      <c r="AM50" s="2"/>
      <c r="AN50" s="1">
        <f>SUM(AN41:AN49)</f>
        <v>438097.8125</v>
      </c>
      <c r="AP50" s="15" t="s">
        <v>18</v>
      </c>
      <c r="AQ50" s="2"/>
      <c r="AR50" s="1">
        <f>SUM(AR41:AR49)</f>
        <v>356520</v>
      </c>
      <c r="AT50" s="15" t="s">
        <v>18</v>
      </c>
      <c r="AU50" s="2"/>
      <c r="AV50" s="1">
        <f>SUM(AV41:AV49)</f>
        <v>454598.31425000005</v>
      </c>
      <c r="AX50" s="15" t="s">
        <v>18</v>
      </c>
      <c r="AY50" s="2"/>
      <c r="AZ50" s="1">
        <f>SUM(AZ41:AZ49)</f>
        <v>784377.6875</v>
      </c>
      <c r="BB50" s="15" t="s">
        <v>18</v>
      </c>
      <c r="BC50" s="2"/>
      <c r="BD50" s="1">
        <f>SUM(BD41:BD49)</f>
        <v>32628.75</v>
      </c>
      <c r="BF50" s="15" t="s">
        <v>18</v>
      </c>
      <c r="BG50" s="2"/>
      <c r="BH50" s="1">
        <f>SUM(BH41:BH49)</f>
        <v>719645.89999999991</v>
      </c>
    </row>
    <row r="51" spans="2:60" x14ac:dyDescent="0.3">
      <c r="B51" s="15" t="s">
        <v>30</v>
      </c>
      <c r="C51" s="2"/>
      <c r="D51" s="4">
        <f>'Pension Computation'!N22</f>
        <v>1735.5</v>
      </c>
      <c r="F51" s="15" t="s">
        <v>30</v>
      </c>
      <c r="G51" s="2"/>
      <c r="H51" s="4">
        <f>'Pension Computation'!N23</f>
        <v>10911</v>
      </c>
      <c r="J51" s="15" t="s">
        <v>30</v>
      </c>
      <c r="K51" s="2"/>
      <c r="L51" s="4">
        <f>'Pension Computation'!N24</f>
        <v>26602.5</v>
      </c>
      <c r="N51" s="15" t="s">
        <v>48</v>
      </c>
      <c r="P51" s="2">
        <v>0</v>
      </c>
      <c r="R51" s="15" t="s">
        <v>48</v>
      </c>
      <c r="S51" s="2"/>
      <c r="T51" s="2">
        <v>80000</v>
      </c>
      <c r="V51" s="15" t="s">
        <v>48</v>
      </c>
      <c r="W51" s="2"/>
      <c r="X51" s="2">
        <v>0</v>
      </c>
      <c r="Z51" s="15" t="s">
        <v>48</v>
      </c>
      <c r="AB51" s="2">
        <v>27277</v>
      </c>
      <c r="AD51" s="15" t="s">
        <v>48</v>
      </c>
      <c r="AF51" s="2">
        <v>149333</v>
      </c>
      <c r="AH51" s="15" t="s">
        <v>48</v>
      </c>
      <c r="AJ51" s="2">
        <v>120000</v>
      </c>
      <c r="AL51" s="15" t="s">
        <v>48</v>
      </c>
      <c r="AN51" s="2">
        <v>0</v>
      </c>
      <c r="AP51" s="15" t="s">
        <v>48</v>
      </c>
      <c r="AR51" s="2">
        <v>0</v>
      </c>
      <c r="AT51" s="15" t="s">
        <v>48</v>
      </c>
      <c r="AV51" s="2">
        <v>0</v>
      </c>
      <c r="AX51" s="15" t="s">
        <v>48</v>
      </c>
      <c r="AZ51" s="2">
        <v>0</v>
      </c>
      <c r="BB51" s="15" t="s">
        <v>48</v>
      </c>
      <c r="BD51" s="2">
        <v>0</v>
      </c>
      <c r="BF51" s="15" t="s">
        <v>48</v>
      </c>
      <c r="BH51" s="2">
        <v>66666</v>
      </c>
    </row>
    <row r="52" spans="2:60" x14ac:dyDescent="0.3">
      <c r="B52" s="18" t="s">
        <v>42</v>
      </c>
      <c r="C52" s="18"/>
      <c r="D52" s="20">
        <f>SUM(D49:D51)</f>
        <v>108847.27499999999</v>
      </c>
      <c r="F52" s="18" t="s">
        <v>42</v>
      </c>
      <c r="H52" s="20">
        <f>SUM(H49:H51)</f>
        <v>173534.55</v>
      </c>
      <c r="J52" s="18" t="s">
        <v>42</v>
      </c>
      <c r="L52" s="20">
        <f>SUM(L49:L51)</f>
        <v>284159.625</v>
      </c>
      <c r="N52" s="15" t="s">
        <v>45</v>
      </c>
      <c r="P52" s="8">
        <v>0</v>
      </c>
      <c r="R52" s="15" t="s">
        <v>45</v>
      </c>
      <c r="T52" s="8">
        <f>'Pension Computation'!N26</f>
        <v>35362.785000000003</v>
      </c>
      <c r="V52" s="15" t="s">
        <v>45</v>
      </c>
      <c r="X52" s="8">
        <f>'Pension Computation'!N27</f>
        <v>15960</v>
      </c>
      <c r="Z52" s="15" t="s">
        <v>45</v>
      </c>
      <c r="AB52" s="37">
        <f>'Pension Computation'!N28</f>
        <v>59737.25</v>
      </c>
      <c r="AD52" s="15" t="s">
        <v>45</v>
      </c>
      <c r="AF52" s="37">
        <f>'Pension Computation'!N29</f>
        <v>73860</v>
      </c>
      <c r="AH52" s="15" t="s">
        <v>45</v>
      </c>
      <c r="AJ52" s="37">
        <f>'Pension Computation'!N30</f>
        <v>23351.25</v>
      </c>
      <c r="AL52" s="15" t="s">
        <v>45</v>
      </c>
      <c r="AN52" s="37">
        <f>'Pension Computation'!N31</f>
        <v>50028.75</v>
      </c>
      <c r="AP52" s="15" t="s">
        <v>45</v>
      </c>
      <c r="AR52" s="37">
        <f>'Pension Computation'!N13</f>
        <v>35460</v>
      </c>
      <c r="AT52" s="15" t="s">
        <v>45</v>
      </c>
      <c r="AV52" s="37">
        <f>'Pension Computation'!N33</f>
        <v>41589.785000000003</v>
      </c>
      <c r="AX52" s="15" t="s">
        <v>45</v>
      </c>
      <c r="AZ52" s="37">
        <f>'Pension Computation'!N34</f>
        <v>98223.75</v>
      </c>
      <c r="BB52" s="15" t="s">
        <v>45</v>
      </c>
      <c r="BD52" s="37">
        <f>'Pension Computation'!R34</f>
        <v>0</v>
      </c>
      <c r="BF52" s="15" t="s">
        <v>45</v>
      </c>
      <c r="BH52" s="37">
        <f>'Pension Computation'!N36</f>
        <v>91462.400000000009</v>
      </c>
    </row>
    <row r="53" spans="2:60" x14ac:dyDescent="0.3">
      <c r="N53" s="18" t="s">
        <v>42</v>
      </c>
      <c r="P53" s="33">
        <f>SUM(P50:P52)</f>
        <v>54909.525000000001</v>
      </c>
      <c r="R53" s="18" t="s">
        <v>42</v>
      </c>
      <c r="T53" s="33">
        <f>SUM(T50:T52)</f>
        <v>455155.65425000002</v>
      </c>
      <c r="V53" s="18" t="s">
        <v>42</v>
      </c>
      <c r="X53" s="33">
        <f>SUM(X50:X52)</f>
        <v>209130</v>
      </c>
      <c r="Z53" s="18" t="s">
        <v>42</v>
      </c>
      <c r="AB53" s="33">
        <f>SUM(AB50:AB52)</f>
        <v>711029.83749999991</v>
      </c>
      <c r="AD53" s="18" t="s">
        <v>42</v>
      </c>
      <c r="AF53" s="33">
        <f>SUM(AF50:AF52)</f>
        <v>823228</v>
      </c>
      <c r="AH53" s="18" t="s">
        <v>42</v>
      </c>
      <c r="AJ53" s="33">
        <f>SUM(AJ50:AJ52)</f>
        <v>405786.1875</v>
      </c>
      <c r="AL53" s="18" t="s">
        <v>42</v>
      </c>
      <c r="AN53" s="33">
        <f>SUM(AN50:AN52)</f>
        <v>488126.5625</v>
      </c>
      <c r="AP53" s="18" t="s">
        <v>42</v>
      </c>
      <c r="AR53" s="33">
        <f>SUM(AR50:AR52)</f>
        <v>391980</v>
      </c>
      <c r="AT53" s="18" t="s">
        <v>42</v>
      </c>
      <c r="AV53" s="33">
        <f>SUM(AV50:AV52)</f>
        <v>496188.09925000009</v>
      </c>
      <c r="AX53" s="18" t="s">
        <v>42</v>
      </c>
      <c r="AZ53" s="33">
        <f>SUM(AZ50:AZ52)</f>
        <v>882601.4375</v>
      </c>
      <c r="BB53" s="18" t="s">
        <v>42</v>
      </c>
      <c r="BD53" s="33">
        <f>SUM(BD50:BD52)</f>
        <v>32628.75</v>
      </c>
      <c r="BF53" s="18" t="s">
        <v>42</v>
      </c>
      <c r="BH53" s="33">
        <f>SUM(BH50:BH52)</f>
        <v>877774.29999999993</v>
      </c>
    </row>
    <row r="54" spans="2:60" x14ac:dyDescent="0.3">
      <c r="B54" s="1" t="s">
        <v>19</v>
      </c>
      <c r="C54" s="2"/>
      <c r="D54" s="4"/>
      <c r="F54" s="1" t="s">
        <v>19</v>
      </c>
      <c r="G54" s="2"/>
      <c r="H54" s="4"/>
      <c r="J54" s="1" t="s">
        <v>19</v>
      </c>
      <c r="K54" s="2"/>
      <c r="L54" s="4"/>
      <c r="AH54" s="15"/>
      <c r="AX54" s="15"/>
    </row>
    <row r="55" spans="2:60" x14ac:dyDescent="0.3">
      <c r="B55" s="2" t="s">
        <v>20</v>
      </c>
      <c r="C55" s="9">
        <v>0.1</v>
      </c>
      <c r="D55" s="4">
        <f>-24000*C55</f>
        <v>-2400</v>
      </c>
      <c r="F55" s="2" t="s">
        <v>20</v>
      </c>
      <c r="G55" s="9">
        <v>0.1</v>
      </c>
      <c r="H55" s="4">
        <f>-24000*G55</f>
        <v>-2400</v>
      </c>
      <c r="J55" s="15" t="s">
        <v>20</v>
      </c>
      <c r="K55" s="9">
        <v>0.1</v>
      </c>
      <c r="L55" s="4">
        <f>-24000*K55</f>
        <v>-2400</v>
      </c>
      <c r="N55" s="18" t="s">
        <v>19</v>
      </c>
      <c r="O55" s="2"/>
      <c r="P55" s="4"/>
      <c r="R55" s="18" t="s">
        <v>19</v>
      </c>
      <c r="S55" s="2"/>
      <c r="T55" s="4"/>
      <c r="V55" s="18" t="s">
        <v>19</v>
      </c>
      <c r="W55" s="2"/>
      <c r="X55" s="4"/>
      <c r="Z55" s="1" t="s">
        <v>19</v>
      </c>
      <c r="AA55" s="2"/>
      <c r="AB55" s="4"/>
      <c r="AD55" s="18" t="s">
        <v>19</v>
      </c>
      <c r="AE55" s="2"/>
      <c r="AF55" s="4"/>
      <c r="AH55" s="18" t="s">
        <v>19</v>
      </c>
      <c r="AI55" s="2"/>
      <c r="AJ55" s="4"/>
      <c r="AL55" s="18" t="s">
        <v>19</v>
      </c>
      <c r="AM55" s="2"/>
      <c r="AN55" s="4"/>
      <c r="AP55" s="18" t="s">
        <v>19</v>
      </c>
      <c r="AQ55" s="2"/>
      <c r="AR55" s="4"/>
      <c r="AT55" s="18" t="s">
        <v>19</v>
      </c>
      <c r="AU55" s="2"/>
      <c r="AV55" s="4"/>
      <c r="AX55" s="18" t="s">
        <v>19</v>
      </c>
      <c r="AY55" s="2"/>
      <c r="AZ55" s="4"/>
      <c r="BB55" s="18" t="s">
        <v>19</v>
      </c>
      <c r="BC55" s="2"/>
      <c r="BD55" s="4"/>
      <c r="BF55" s="18" t="s">
        <v>19</v>
      </c>
      <c r="BG55" s="2"/>
      <c r="BH55" s="4"/>
    </row>
    <row r="56" spans="2:60" x14ac:dyDescent="0.3">
      <c r="B56" s="2" t="s">
        <v>21</v>
      </c>
      <c r="C56" s="9">
        <f>25%</f>
        <v>0.25</v>
      </c>
      <c r="D56" s="4">
        <f>-8333*C56</f>
        <v>-2083.25</v>
      </c>
      <c r="F56" s="2" t="s">
        <v>21</v>
      </c>
      <c r="G56" s="9">
        <f>25%</f>
        <v>0.25</v>
      </c>
      <c r="H56" s="4">
        <f>-8333*G56</f>
        <v>-2083.25</v>
      </c>
      <c r="J56" s="15" t="s">
        <v>21</v>
      </c>
      <c r="K56" s="9">
        <f>25%</f>
        <v>0.25</v>
      </c>
      <c r="L56" s="4">
        <f>-8333*K56</f>
        <v>-2083.25</v>
      </c>
      <c r="N56" s="15" t="s">
        <v>20</v>
      </c>
      <c r="O56" s="9">
        <v>0.1</v>
      </c>
      <c r="P56" s="4">
        <f>-24000*O56</f>
        <v>-2400</v>
      </c>
      <c r="R56" s="15" t="s">
        <v>20</v>
      </c>
      <c r="S56" s="9">
        <v>0.1</v>
      </c>
      <c r="T56" s="4">
        <f>-24000*S56</f>
        <v>-2400</v>
      </c>
      <c r="V56" s="2" t="s">
        <v>20</v>
      </c>
      <c r="W56" s="9">
        <v>0.1</v>
      </c>
      <c r="X56" s="4">
        <f>-24000*W56</f>
        <v>-2400</v>
      </c>
      <c r="Z56" s="15" t="s">
        <v>20</v>
      </c>
      <c r="AA56" s="9">
        <v>0.1</v>
      </c>
      <c r="AB56" s="4">
        <f>-24000*AA56</f>
        <v>-2400</v>
      </c>
      <c r="AD56" s="15" t="s">
        <v>20</v>
      </c>
      <c r="AE56" s="9">
        <v>0.1</v>
      </c>
      <c r="AF56" s="4">
        <f>-24000*AE56</f>
        <v>-2400</v>
      </c>
      <c r="AH56" s="15" t="s">
        <v>20</v>
      </c>
      <c r="AI56" s="9">
        <v>0.1</v>
      </c>
      <c r="AJ56" s="4">
        <f>-24000*AI56</f>
        <v>-2400</v>
      </c>
      <c r="AL56" s="15" t="s">
        <v>20</v>
      </c>
      <c r="AM56" s="9">
        <v>0.1</v>
      </c>
      <c r="AN56" s="4">
        <f>-24000*AM56</f>
        <v>-2400</v>
      </c>
      <c r="AP56" s="15" t="s">
        <v>20</v>
      </c>
      <c r="AQ56" s="9">
        <v>0.1</v>
      </c>
      <c r="AR56" s="4">
        <f>-24000*AQ56</f>
        <v>-2400</v>
      </c>
      <c r="AT56" s="15" t="s">
        <v>20</v>
      </c>
      <c r="AU56" s="9">
        <v>0.1</v>
      </c>
      <c r="AV56" s="4">
        <f>-24000*AU56</f>
        <v>-2400</v>
      </c>
      <c r="AX56" s="15" t="s">
        <v>20</v>
      </c>
      <c r="AY56" s="9">
        <v>0.1</v>
      </c>
      <c r="AZ56" s="4">
        <f>-24000*AY56</f>
        <v>-2400</v>
      </c>
      <c r="BB56" s="15" t="s">
        <v>20</v>
      </c>
      <c r="BC56" s="9">
        <v>0.1</v>
      </c>
      <c r="BD56" s="4">
        <f>-24000*BC56</f>
        <v>-2400</v>
      </c>
      <c r="BF56" s="15" t="s">
        <v>20</v>
      </c>
      <c r="BG56" s="9">
        <v>0.1</v>
      </c>
      <c r="BH56" s="4">
        <f>-24000*BG56</f>
        <v>-2400</v>
      </c>
    </row>
    <row r="57" spans="2:60" x14ac:dyDescent="0.3">
      <c r="B57" s="2" t="s">
        <v>22</v>
      </c>
      <c r="C57" s="9">
        <v>0.3</v>
      </c>
      <c r="D57" s="13">
        <f>-(D52-24000-8333)*30%</f>
        <v>-22954.282499999998</v>
      </c>
      <c r="F57" s="2" t="s">
        <v>22</v>
      </c>
      <c r="G57" s="9">
        <v>0.3</v>
      </c>
      <c r="H57" s="13">
        <f>-(H52-24000-8333)*30%</f>
        <v>-42360.464999999997</v>
      </c>
      <c r="J57" s="15" t="s">
        <v>22</v>
      </c>
      <c r="K57" s="9">
        <v>0.3</v>
      </c>
      <c r="L57" s="13">
        <f>-(L52-24000-8333)*K57</f>
        <v>-75547.987500000003</v>
      </c>
      <c r="N57" s="15" t="s">
        <v>21</v>
      </c>
      <c r="O57" s="9">
        <f>25%</f>
        <v>0.25</v>
      </c>
      <c r="P57" s="4">
        <f>-8333*O57</f>
        <v>-2083.25</v>
      </c>
      <c r="R57" s="15" t="s">
        <v>21</v>
      </c>
      <c r="S57" s="9">
        <f>25%</f>
        <v>0.25</v>
      </c>
      <c r="T57" s="4">
        <f>-8333*S57</f>
        <v>-2083.25</v>
      </c>
      <c r="V57" s="2" t="s">
        <v>21</v>
      </c>
      <c r="W57" s="9">
        <f>25%</f>
        <v>0.25</v>
      </c>
      <c r="X57" s="4">
        <f>-8333*W57</f>
        <v>-2083.25</v>
      </c>
      <c r="Z57" s="15" t="s">
        <v>21</v>
      </c>
      <c r="AA57" s="9">
        <f>25%</f>
        <v>0.25</v>
      </c>
      <c r="AB57" s="4">
        <f>-8333*AA57</f>
        <v>-2083.25</v>
      </c>
      <c r="AD57" s="15" t="s">
        <v>21</v>
      </c>
      <c r="AE57" s="9">
        <f>25%</f>
        <v>0.25</v>
      </c>
      <c r="AF57" s="4">
        <f>-8333*AE57</f>
        <v>-2083.25</v>
      </c>
      <c r="AH57" s="15" t="s">
        <v>21</v>
      </c>
      <c r="AI57" s="9">
        <f>25%</f>
        <v>0.25</v>
      </c>
      <c r="AJ57" s="4">
        <f>-8333*AI57</f>
        <v>-2083.25</v>
      </c>
      <c r="AL57" s="15" t="s">
        <v>21</v>
      </c>
      <c r="AM57" s="9">
        <f>25%</f>
        <v>0.25</v>
      </c>
      <c r="AN57" s="4">
        <f>-8333*AM57</f>
        <v>-2083.25</v>
      </c>
      <c r="AP57" s="15" t="s">
        <v>21</v>
      </c>
      <c r="AQ57" s="9">
        <f>25%</f>
        <v>0.25</v>
      </c>
      <c r="AR57" s="4">
        <f>-8333*AQ57</f>
        <v>-2083.25</v>
      </c>
      <c r="AT57" s="15" t="s">
        <v>21</v>
      </c>
      <c r="AU57" s="9">
        <f>25%</f>
        <v>0.25</v>
      </c>
      <c r="AV57" s="4">
        <f>-8333*AU57</f>
        <v>-2083.25</v>
      </c>
      <c r="AX57" s="15" t="s">
        <v>21</v>
      </c>
      <c r="AY57" s="9">
        <f>25%</f>
        <v>0.25</v>
      </c>
      <c r="AZ57" s="4">
        <f>-8333*AY57</f>
        <v>-2083.25</v>
      </c>
      <c r="BB57" s="15" t="s">
        <v>21</v>
      </c>
      <c r="BC57" s="9">
        <f>25%</f>
        <v>0.25</v>
      </c>
      <c r="BD57" s="4">
        <f>-(BD53-24000)*BC57</f>
        <v>-2157.1875</v>
      </c>
      <c r="BF57" s="15" t="s">
        <v>21</v>
      </c>
      <c r="BG57" s="9">
        <f>25%</f>
        <v>0.25</v>
      </c>
      <c r="BH57" s="4">
        <f>-8333*BG57</f>
        <v>-2083.25</v>
      </c>
    </row>
    <row r="58" spans="2:60" x14ac:dyDescent="0.3">
      <c r="B58" s="15" t="s">
        <v>49</v>
      </c>
      <c r="C58" s="17">
        <v>0.32500000000000001</v>
      </c>
      <c r="D58" s="32">
        <v>0</v>
      </c>
      <c r="F58" s="15" t="s">
        <v>49</v>
      </c>
      <c r="G58" s="17">
        <v>0.32500000000000001</v>
      </c>
      <c r="H58" s="32">
        <v>0</v>
      </c>
      <c r="J58" s="15" t="s">
        <v>49</v>
      </c>
      <c r="K58" s="17">
        <v>0.32500000000000001</v>
      </c>
      <c r="L58" s="32">
        <v>0</v>
      </c>
      <c r="N58" s="15" t="s">
        <v>22</v>
      </c>
      <c r="O58" s="9">
        <v>0.3</v>
      </c>
      <c r="P58" s="13">
        <f>-(P53-24000-8333)*O58</f>
        <v>-6772.9575000000004</v>
      </c>
      <c r="R58" s="15" t="s">
        <v>22</v>
      </c>
      <c r="S58" s="9">
        <v>0.3</v>
      </c>
      <c r="T58" s="13">
        <f>-(T53-8333-24000)*S58</f>
        <v>-126846.796275</v>
      </c>
      <c r="V58" s="2" t="s">
        <v>22</v>
      </c>
      <c r="W58" s="9">
        <v>0.3</v>
      </c>
      <c r="X58" s="13">
        <f>-(X53-8333-24000)*W58</f>
        <v>-53039.1</v>
      </c>
      <c r="Z58" s="15" t="s">
        <v>22</v>
      </c>
      <c r="AA58" s="9">
        <v>0.3</v>
      </c>
      <c r="AB58" s="13">
        <f>-467557*AA58</f>
        <v>-140267.1</v>
      </c>
      <c r="AD58" s="15" t="s">
        <v>22</v>
      </c>
      <c r="AE58" s="9">
        <v>0.3</v>
      </c>
      <c r="AF58" s="13">
        <f>-467557*AE58</f>
        <v>-140267.1</v>
      </c>
      <c r="AH58" s="15" t="s">
        <v>22</v>
      </c>
      <c r="AI58" s="9">
        <v>0.3</v>
      </c>
      <c r="AJ58" s="13">
        <f>-(AJ53-8333-24000)*AI58</f>
        <v>-112035.95625</v>
      </c>
      <c r="AL58" s="15" t="s">
        <v>22</v>
      </c>
      <c r="AM58" s="9">
        <v>0.3</v>
      </c>
      <c r="AN58" s="13">
        <f>-(AN53-8333-24000)*AM58</f>
        <v>-136738.06875000001</v>
      </c>
      <c r="AP58" s="15" t="s">
        <v>22</v>
      </c>
      <c r="AQ58" s="9">
        <v>0.3</v>
      </c>
      <c r="AR58" s="13">
        <f>-(AR53-8333-24000)*AQ58</f>
        <v>-107894.09999999999</v>
      </c>
      <c r="AT58" s="15" t="s">
        <v>22</v>
      </c>
      <c r="AU58" s="9">
        <v>0.3</v>
      </c>
      <c r="AV58" s="13">
        <f>-(AV53-8333-24000)*AU58</f>
        <v>-139156.52977500003</v>
      </c>
      <c r="AX58" s="15" t="s">
        <v>22</v>
      </c>
      <c r="AY58" s="9">
        <v>0.3</v>
      </c>
      <c r="AZ58" s="13">
        <f>-467667*AY58</f>
        <v>-140300.1</v>
      </c>
      <c r="BB58" s="15" t="s">
        <v>22</v>
      </c>
      <c r="BC58" s="9">
        <v>0.3</v>
      </c>
      <c r="BD58" s="13">
        <v>0</v>
      </c>
      <c r="BF58" s="15" t="s">
        <v>22</v>
      </c>
      <c r="BG58" s="9">
        <v>0.3</v>
      </c>
      <c r="BH58" s="13">
        <f>-467667*BG58</f>
        <v>-140300.1</v>
      </c>
    </row>
    <row r="59" spans="2:60" x14ac:dyDescent="0.3">
      <c r="B59" s="2" t="s">
        <v>24</v>
      </c>
      <c r="C59" s="9"/>
      <c r="D59" s="10">
        <v>2400</v>
      </c>
      <c r="F59" s="2" t="s">
        <v>24</v>
      </c>
      <c r="G59" s="9"/>
      <c r="H59" s="10">
        <v>2400</v>
      </c>
      <c r="J59" s="15" t="s">
        <v>24</v>
      </c>
      <c r="K59" s="9"/>
      <c r="L59" s="10">
        <v>2400</v>
      </c>
      <c r="N59" s="15" t="s">
        <v>49</v>
      </c>
      <c r="O59" s="17">
        <v>0.32500000000000001</v>
      </c>
      <c r="P59" s="32">
        <v>0</v>
      </c>
      <c r="R59" s="15" t="s">
        <v>49</v>
      </c>
      <c r="S59" s="17">
        <v>0.32500000000000001</v>
      </c>
      <c r="T59" s="32">
        <v>0</v>
      </c>
      <c r="V59" s="15" t="s">
        <v>49</v>
      </c>
      <c r="W59" s="17">
        <v>0.32500000000000001</v>
      </c>
      <c r="X59" s="32">
        <v>0</v>
      </c>
      <c r="Z59" s="15" t="s">
        <v>49</v>
      </c>
      <c r="AA59" s="17">
        <v>0.32500000000000001</v>
      </c>
      <c r="AB59" s="47">
        <f>-(AB53-500000)*AA59</f>
        <v>-68584.697187499973</v>
      </c>
      <c r="AD59" s="15" t="s">
        <v>49</v>
      </c>
      <c r="AE59" s="17">
        <v>0.32500000000000001</v>
      </c>
      <c r="AF59" s="47">
        <f>-(AF53-500000)*AE59</f>
        <v>-105049.1</v>
      </c>
      <c r="AH59" s="15" t="s">
        <v>49</v>
      </c>
      <c r="AI59" s="17">
        <v>0.32500000000000001</v>
      </c>
      <c r="AJ59" s="47">
        <v>0</v>
      </c>
      <c r="AL59" s="15" t="s">
        <v>49</v>
      </c>
      <c r="AM59" s="17">
        <v>0.32500000000000001</v>
      </c>
      <c r="AN59" s="47">
        <v>0</v>
      </c>
      <c r="AP59" s="15" t="s">
        <v>49</v>
      </c>
      <c r="AQ59" s="17">
        <v>0.32500000000000001</v>
      </c>
      <c r="AR59" s="47">
        <v>0</v>
      </c>
      <c r="AT59" s="15" t="s">
        <v>49</v>
      </c>
      <c r="AU59" s="17">
        <v>0.32500000000000001</v>
      </c>
      <c r="AV59" s="47">
        <v>0</v>
      </c>
      <c r="AX59" s="15" t="s">
        <v>49</v>
      </c>
      <c r="AY59" s="17">
        <v>0.32500000000000001</v>
      </c>
      <c r="AZ59" s="47">
        <f>-300000*AY59</f>
        <v>-97500</v>
      </c>
      <c r="BB59" s="15" t="s">
        <v>49</v>
      </c>
      <c r="BC59" s="17">
        <v>0.32500000000000001</v>
      </c>
      <c r="BD59" s="47">
        <v>0</v>
      </c>
      <c r="BF59" s="15" t="s">
        <v>49</v>
      </c>
      <c r="BG59" s="17">
        <v>0.32500000000000001</v>
      </c>
      <c r="BH59" s="47">
        <f>-300000*BG59</f>
        <v>-97500</v>
      </c>
    </row>
    <row r="60" spans="2:60" x14ac:dyDescent="0.3">
      <c r="B60" s="1" t="s">
        <v>23</v>
      </c>
      <c r="C60" s="1"/>
      <c r="D60" s="28">
        <f>SUM(D55:D59)</f>
        <v>-25037.532499999998</v>
      </c>
      <c r="F60" s="2" t="s">
        <v>23</v>
      </c>
      <c r="G60" s="2"/>
      <c r="H60" s="4">
        <f>SUM(H55:H59)</f>
        <v>-44443.714999999997</v>
      </c>
      <c r="J60" s="18" t="s">
        <v>23</v>
      </c>
      <c r="K60" s="1"/>
      <c r="L60" s="28">
        <f>SUM(L55:L59)</f>
        <v>-77631.237500000003</v>
      </c>
      <c r="N60" s="2" t="s">
        <v>24</v>
      </c>
      <c r="O60" s="9"/>
      <c r="P60" s="10">
        <v>2400</v>
      </c>
      <c r="R60" s="15" t="s">
        <v>24</v>
      </c>
      <c r="S60" s="9"/>
      <c r="T60" s="10">
        <v>2400</v>
      </c>
      <c r="V60" s="2" t="s">
        <v>24</v>
      </c>
      <c r="W60" s="9"/>
      <c r="X60" s="10">
        <v>2400</v>
      </c>
      <c r="Z60" s="15" t="s">
        <v>24</v>
      </c>
      <c r="AA60" s="9"/>
      <c r="AB60" s="10">
        <v>2400</v>
      </c>
      <c r="AD60" s="15" t="s">
        <v>24</v>
      </c>
      <c r="AE60" s="9"/>
      <c r="AF60" s="10">
        <v>2400</v>
      </c>
      <c r="AH60" s="15" t="s">
        <v>24</v>
      </c>
      <c r="AI60" s="9"/>
      <c r="AJ60" s="10">
        <v>2400</v>
      </c>
      <c r="AL60" s="15" t="s">
        <v>24</v>
      </c>
      <c r="AM60" s="9"/>
      <c r="AN60" s="10">
        <v>2400</v>
      </c>
      <c r="AP60" s="15" t="s">
        <v>24</v>
      </c>
      <c r="AQ60" s="9"/>
      <c r="AR60" s="10">
        <v>2400</v>
      </c>
      <c r="AT60" s="15" t="s">
        <v>24</v>
      </c>
      <c r="AU60" s="9"/>
      <c r="AV60" s="10">
        <v>2400</v>
      </c>
      <c r="AX60" s="15" t="s">
        <v>65</v>
      </c>
      <c r="AY60" s="51">
        <v>0.35</v>
      </c>
      <c r="AZ60" s="16">
        <f>-(AZ53-800000)*AY60</f>
        <v>-28910.503124999999</v>
      </c>
      <c r="BB60" s="15" t="s">
        <v>24</v>
      </c>
      <c r="BC60" s="9"/>
      <c r="BD60" s="10">
        <v>2400</v>
      </c>
      <c r="BF60" s="15" t="s">
        <v>65</v>
      </c>
      <c r="BG60" s="51">
        <v>0.35</v>
      </c>
      <c r="BH60" s="47">
        <f>-(BH53-800000)*BG60</f>
        <v>-27221.004999999976</v>
      </c>
    </row>
    <row r="61" spans="2:60" x14ac:dyDescent="0.3">
      <c r="B61" s="2"/>
      <c r="C61" s="2"/>
      <c r="D61" s="4"/>
      <c r="F61" s="2"/>
      <c r="G61" s="2"/>
      <c r="H61" s="4"/>
      <c r="K61" s="2"/>
      <c r="L61" s="4"/>
      <c r="N61" s="18" t="s">
        <v>23</v>
      </c>
      <c r="O61" s="2"/>
      <c r="P61" s="28">
        <f>SUM(P56:P60)</f>
        <v>-8856.2075000000004</v>
      </c>
      <c r="R61" s="18" t="s">
        <v>23</v>
      </c>
      <c r="S61" s="2"/>
      <c r="T61" s="28">
        <f>SUM(T56:T60)</f>
        <v>-128930.046275</v>
      </c>
      <c r="V61" s="18" t="s">
        <v>23</v>
      </c>
      <c r="W61" s="1"/>
      <c r="X61" s="28">
        <f>SUM(X56:X60)</f>
        <v>-55122.35</v>
      </c>
      <c r="Z61" s="18" t="s">
        <v>23</v>
      </c>
      <c r="AA61" s="1"/>
      <c r="AB61" s="28">
        <f>SUM(AB56:AB60)</f>
        <v>-210935.04718749999</v>
      </c>
      <c r="AC61" s="18"/>
      <c r="AD61" s="18" t="s">
        <v>23</v>
      </c>
      <c r="AE61" s="1"/>
      <c r="AF61" s="28">
        <f>SUM(AF56:AF60)</f>
        <v>-247399.45</v>
      </c>
      <c r="AH61" s="18" t="s">
        <v>23</v>
      </c>
      <c r="AI61" s="1"/>
      <c r="AJ61" s="28">
        <f>SUM(AJ56:AJ60)</f>
        <v>-114119.20625</v>
      </c>
      <c r="AL61" s="18" t="s">
        <v>23</v>
      </c>
      <c r="AM61" s="1"/>
      <c r="AN61" s="28">
        <f>SUM(AN56:AN60)</f>
        <v>-138821.31875000001</v>
      </c>
      <c r="AP61" s="18" t="s">
        <v>23</v>
      </c>
      <c r="AQ61" s="1"/>
      <c r="AR61" s="28">
        <f>SUM(AR56:AR60)</f>
        <v>-109977.34999999999</v>
      </c>
      <c r="AT61" s="18" t="s">
        <v>23</v>
      </c>
      <c r="AU61" s="1"/>
      <c r="AV61" s="28">
        <f>SUM(AV56:AV60)</f>
        <v>-141239.77977500003</v>
      </c>
      <c r="AX61" s="15" t="s">
        <v>24</v>
      </c>
      <c r="AY61" s="9"/>
      <c r="AZ61" s="10">
        <v>2400</v>
      </c>
      <c r="BB61" s="18" t="s">
        <v>23</v>
      </c>
      <c r="BC61" s="1"/>
      <c r="BD61" s="28">
        <f>SUM(BD56:BD60)</f>
        <v>-2157.1875</v>
      </c>
      <c r="BF61" s="15" t="s">
        <v>24</v>
      </c>
      <c r="BG61" s="9"/>
      <c r="BH61" s="10">
        <v>2400</v>
      </c>
    </row>
    <row r="62" spans="2:60" x14ac:dyDescent="0.3">
      <c r="B62" s="2" t="s">
        <v>25</v>
      </c>
      <c r="C62" s="2"/>
      <c r="D62" s="4">
        <v>-400</v>
      </c>
      <c r="F62" s="2" t="s">
        <v>25</v>
      </c>
      <c r="G62" s="2"/>
      <c r="H62" s="4">
        <v>-400</v>
      </c>
      <c r="J62" s="15" t="s">
        <v>25</v>
      </c>
      <c r="K62" s="2"/>
      <c r="L62" s="4">
        <v>-400</v>
      </c>
      <c r="N62" s="2"/>
      <c r="O62" s="2"/>
      <c r="P62" s="4"/>
      <c r="R62" s="2"/>
      <c r="S62" s="2"/>
      <c r="T62" s="4"/>
      <c r="V62" s="2"/>
      <c r="W62" s="2"/>
      <c r="X62" s="4"/>
      <c r="Z62" s="2"/>
      <c r="AA62" s="2"/>
      <c r="AB62" s="4"/>
      <c r="AD62" s="2"/>
      <c r="AE62" s="2"/>
      <c r="AF62" s="4"/>
      <c r="AI62" s="2"/>
      <c r="AJ62" s="4"/>
      <c r="AL62" s="2"/>
      <c r="AM62" s="2"/>
      <c r="AN62" s="4"/>
      <c r="AP62" s="2"/>
      <c r="AQ62" s="2"/>
      <c r="AR62" s="4"/>
      <c r="AT62" s="2"/>
      <c r="AU62" s="2"/>
      <c r="AV62" s="4"/>
      <c r="AX62" s="18" t="s">
        <v>23</v>
      </c>
      <c r="AY62" s="1"/>
      <c r="AZ62" s="28">
        <f>SUM(AZ56:AZ61)</f>
        <v>-268793.85312500002</v>
      </c>
      <c r="BB62" s="2"/>
      <c r="BC62" s="2"/>
      <c r="BD62" s="4"/>
      <c r="BF62" s="18" t="s">
        <v>23</v>
      </c>
      <c r="BG62" s="1"/>
      <c r="BH62" s="28">
        <f>SUM(BH56:BH61)</f>
        <v>-267104.35499999998</v>
      </c>
    </row>
    <row r="63" spans="2:60" x14ac:dyDescent="0.3">
      <c r="B63" s="2" t="s">
        <v>26</v>
      </c>
      <c r="C63" s="2"/>
      <c r="D63" s="4">
        <f>-10200</f>
        <v>-10200</v>
      </c>
      <c r="F63" s="2" t="s">
        <v>26</v>
      </c>
      <c r="G63" s="2"/>
      <c r="H63" s="4">
        <v>0</v>
      </c>
      <c r="J63" s="15" t="s">
        <v>26</v>
      </c>
      <c r="K63" s="2"/>
      <c r="L63" s="4">
        <v>-61445</v>
      </c>
      <c r="N63" s="15" t="s">
        <v>25</v>
      </c>
      <c r="O63" s="2"/>
      <c r="P63" s="4">
        <v>-400</v>
      </c>
      <c r="R63" s="15" t="s">
        <v>25</v>
      </c>
      <c r="S63" s="2"/>
      <c r="T63" s="4">
        <v>-400</v>
      </c>
      <c r="V63" s="2" t="s">
        <v>25</v>
      </c>
      <c r="W63" s="2"/>
      <c r="X63" s="4">
        <v>-400</v>
      </c>
      <c r="Z63" s="2" t="s">
        <v>25</v>
      </c>
      <c r="AA63" s="2"/>
      <c r="AB63" s="4">
        <v>-400</v>
      </c>
      <c r="AD63" s="15" t="s">
        <v>25</v>
      </c>
      <c r="AE63" s="2"/>
      <c r="AF63" s="4">
        <v>-400</v>
      </c>
      <c r="AH63" s="15" t="s">
        <v>25</v>
      </c>
      <c r="AI63" s="2"/>
      <c r="AJ63" s="4">
        <v>-400</v>
      </c>
      <c r="AL63" s="15" t="s">
        <v>25</v>
      </c>
      <c r="AM63" s="2"/>
      <c r="AN63" s="4">
        <v>-400</v>
      </c>
      <c r="AP63" s="15" t="s">
        <v>25</v>
      </c>
      <c r="AQ63" s="2"/>
      <c r="AR63" s="4">
        <v>-400</v>
      </c>
      <c r="AT63" s="15" t="s">
        <v>25</v>
      </c>
      <c r="AU63" s="2"/>
      <c r="AV63" s="4">
        <v>-400</v>
      </c>
      <c r="AY63" s="2"/>
      <c r="AZ63" s="4"/>
      <c r="BB63" s="15" t="s">
        <v>25</v>
      </c>
      <c r="BC63" s="2"/>
      <c r="BD63" s="4">
        <v>-400</v>
      </c>
      <c r="BF63" s="2"/>
      <c r="BG63" s="2"/>
      <c r="BH63" s="4"/>
    </row>
    <row r="64" spans="2:60" x14ac:dyDescent="0.3">
      <c r="B64" s="2" t="s">
        <v>46</v>
      </c>
      <c r="C64" s="2"/>
      <c r="D64" s="4">
        <v>0</v>
      </c>
      <c r="F64" s="2" t="s">
        <v>46</v>
      </c>
      <c r="G64" s="2"/>
      <c r="H64" s="4">
        <v>0</v>
      </c>
      <c r="J64" s="15" t="s">
        <v>46</v>
      </c>
      <c r="K64" s="2"/>
      <c r="L64" s="4">
        <v>0</v>
      </c>
      <c r="N64" s="15" t="s">
        <v>26</v>
      </c>
      <c r="O64" s="2"/>
      <c r="P64" s="4">
        <v>-24268</v>
      </c>
      <c r="R64" s="15" t="s">
        <v>26</v>
      </c>
      <c r="S64" s="2"/>
      <c r="T64" s="4">
        <v>-110745</v>
      </c>
      <c r="V64" s="2" t="s">
        <v>31</v>
      </c>
      <c r="W64" s="2"/>
      <c r="X64" s="4">
        <v>-100</v>
      </c>
      <c r="Z64" s="2" t="s">
        <v>31</v>
      </c>
      <c r="AA64" s="2"/>
      <c r="AB64" s="4">
        <v>-100</v>
      </c>
      <c r="AD64" s="15" t="s">
        <v>31</v>
      </c>
      <c r="AE64" s="2"/>
      <c r="AF64" s="4">
        <v>0</v>
      </c>
      <c r="AH64" s="15" t="s">
        <v>31</v>
      </c>
      <c r="AI64" s="2"/>
      <c r="AJ64" s="4">
        <v>0</v>
      </c>
      <c r="AL64" s="15" t="s">
        <v>31</v>
      </c>
      <c r="AM64" s="2"/>
      <c r="AN64" s="4">
        <v>0</v>
      </c>
      <c r="AP64" s="15" t="s">
        <v>59</v>
      </c>
      <c r="AQ64" s="2"/>
      <c r="AR64" s="4">
        <v>-5000</v>
      </c>
      <c r="AT64" s="15" t="s">
        <v>31</v>
      </c>
      <c r="AU64" s="2"/>
      <c r="AV64" s="4">
        <v>0</v>
      </c>
      <c r="AX64" s="15" t="s">
        <v>25</v>
      </c>
      <c r="AY64" s="2"/>
      <c r="AZ64" s="4">
        <v>-400</v>
      </c>
      <c r="BB64" s="15" t="s">
        <v>31</v>
      </c>
      <c r="BC64" s="2"/>
      <c r="BD64" s="4">
        <v>0</v>
      </c>
      <c r="BF64" s="15" t="s">
        <v>25</v>
      </c>
      <c r="BG64" s="2"/>
      <c r="BH64" s="4">
        <v>-400</v>
      </c>
    </row>
    <row r="65" spans="2:60" ht="13.5" thickBot="1" x14ac:dyDescent="0.35">
      <c r="B65" s="1" t="s">
        <v>27</v>
      </c>
      <c r="C65" s="2"/>
      <c r="D65" s="11">
        <f>D49+SUM(D60:D64)</f>
        <v>71474.242499999993</v>
      </c>
      <c r="F65" s="1" t="s">
        <v>27</v>
      </c>
      <c r="G65" s="2"/>
      <c r="H65" s="11">
        <f>H49+SUM(H60:H64)</f>
        <v>117779.83499999999</v>
      </c>
      <c r="J65" s="18" t="s">
        <v>27</v>
      </c>
      <c r="K65" s="2"/>
      <c r="L65" s="11">
        <f>L49+SUM(L60:L64)</f>
        <v>118080.88750000001</v>
      </c>
      <c r="N65" s="15" t="s">
        <v>46</v>
      </c>
      <c r="O65" s="2"/>
      <c r="P65" s="4">
        <v>-200</v>
      </c>
      <c r="R65" s="15" t="s">
        <v>46</v>
      </c>
      <c r="S65" s="2"/>
      <c r="T65" s="4">
        <v>0</v>
      </c>
      <c r="V65" s="2" t="s">
        <v>26</v>
      </c>
      <c r="W65" s="2"/>
      <c r="X65" s="4">
        <v>-57720</v>
      </c>
      <c r="Z65" s="2" t="s">
        <v>26</v>
      </c>
      <c r="AA65" s="2"/>
      <c r="AB65" s="4">
        <v>-156900</v>
      </c>
      <c r="AD65" s="15" t="s">
        <v>26</v>
      </c>
      <c r="AE65" s="2"/>
      <c r="AF65" s="4">
        <v>0</v>
      </c>
      <c r="AH65" s="15" t="s">
        <v>26</v>
      </c>
      <c r="AI65" s="2"/>
      <c r="AJ65" s="4">
        <v>-31855</v>
      </c>
      <c r="AL65" s="15" t="s">
        <v>26</v>
      </c>
      <c r="AM65" s="2"/>
      <c r="AN65" s="4">
        <v>-10000</v>
      </c>
      <c r="AP65" s="15" t="s">
        <v>26</v>
      </c>
      <c r="AQ65" s="2"/>
      <c r="AR65" s="4">
        <v>-50200</v>
      </c>
      <c r="AT65" s="15" t="s">
        <v>26</v>
      </c>
      <c r="AU65" s="2"/>
      <c r="AV65" s="4">
        <v>-97369</v>
      </c>
      <c r="AX65" s="15" t="s">
        <v>31</v>
      </c>
      <c r="AY65" s="2"/>
      <c r="AZ65" s="4">
        <v>0</v>
      </c>
      <c r="BB65" s="15" t="s">
        <v>26</v>
      </c>
      <c r="BC65" s="2"/>
      <c r="BD65" s="4">
        <v>0</v>
      </c>
      <c r="BF65" s="15" t="s">
        <v>31</v>
      </c>
      <c r="BG65" s="2"/>
      <c r="BH65" s="4">
        <v>0</v>
      </c>
    </row>
    <row r="66" spans="2:60" ht="14" thickTop="1" thickBot="1" x14ac:dyDescent="0.35">
      <c r="D66" s="30"/>
      <c r="N66" s="18" t="s">
        <v>27</v>
      </c>
      <c r="O66" s="2"/>
      <c r="P66" s="11">
        <f>P50+SUM(P61:P65)</f>
        <v>21185.317499999997</v>
      </c>
      <c r="R66" s="15" t="s">
        <v>27</v>
      </c>
      <c r="S66" s="2"/>
      <c r="T66" s="11">
        <f>T50+SUM(T61:T65)</f>
        <v>99717.822974999988</v>
      </c>
      <c r="V66" s="1" t="s">
        <v>27</v>
      </c>
      <c r="W66" s="2"/>
      <c r="X66" s="11">
        <f>X50+SUM(X61:X65)</f>
        <v>79827.649999999994</v>
      </c>
      <c r="Z66" s="1" t="s">
        <v>27</v>
      </c>
      <c r="AA66" s="2"/>
      <c r="AB66" s="11">
        <f>AB50+SUM(AB61:AB65)</f>
        <v>255680.54031249991</v>
      </c>
      <c r="AD66" s="18" t="s">
        <v>27</v>
      </c>
      <c r="AE66" s="2"/>
      <c r="AF66" s="11">
        <f>AF50+SUM(AF61:AF65)</f>
        <v>352235.55</v>
      </c>
      <c r="AH66" s="18" t="s">
        <v>27</v>
      </c>
      <c r="AI66" s="2"/>
      <c r="AJ66" s="11">
        <f>AJ50+SUM(AJ61:AJ65)</f>
        <v>116060.73125000001</v>
      </c>
      <c r="AL66" s="18" t="s">
        <v>27</v>
      </c>
      <c r="AM66" s="2"/>
      <c r="AN66" s="11">
        <f>AN50+SUM(AN61:AN65)</f>
        <v>288876.49375000002</v>
      </c>
      <c r="AP66" s="18" t="s">
        <v>27</v>
      </c>
      <c r="AQ66" s="2"/>
      <c r="AR66" s="11">
        <f>AR50+SUM(AR61:AR65)</f>
        <v>190942.65000000002</v>
      </c>
      <c r="AT66" s="18" t="s">
        <v>27</v>
      </c>
      <c r="AU66" s="2"/>
      <c r="AV66" s="11">
        <f>AV50+SUM(AV61:AV65)</f>
        <v>215589.53447500002</v>
      </c>
      <c r="AX66" s="15" t="s">
        <v>26</v>
      </c>
      <c r="AY66" s="2"/>
      <c r="AZ66" s="4">
        <v>0</v>
      </c>
      <c r="BB66" s="18" t="s">
        <v>27</v>
      </c>
      <c r="BC66" s="2"/>
      <c r="BD66" s="11">
        <f>BD50+SUM(BD61:BD65)</f>
        <v>30071.5625</v>
      </c>
      <c r="BF66" s="15" t="s">
        <v>26</v>
      </c>
      <c r="BG66" s="2"/>
      <c r="BH66" s="4">
        <f>BH30</f>
        <v>-151870</v>
      </c>
    </row>
    <row r="67" spans="2:60" ht="14" thickTop="1" thickBot="1" x14ac:dyDescent="0.35">
      <c r="D67" s="30"/>
      <c r="N67" s="18"/>
      <c r="O67" s="2"/>
      <c r="P67" s="38"/>
      <c r="S67" s="2"/>
      <c r="T67" s="38"/>
      <c r="V67" s="1"/>
      <c r="W67" s="2"/>
      <c r="X67" s="38"/>
      <c r="Z67" s="1"/>
      <c r="AA67" s="2"/>
      <c r="AB67" s="38"/>
      <c r="AD67" s="18"/>
      <c r="AE67" s="2"/>
      <c r="AF67" s="38"/>
      <c r="AH67" s="18"/>
      <c r="AI67" s="2"/>
      <c r="AJ67" s="38"/>
      <c r="AL67" s="18"/>
      <c r="AM67" s="2"/>
      <c r="AN67" s="38"/>
      <c r="AP67" s="18"/>
      <c r="AQ67" s="2"/>
      <c r="AR67" s="38"/>
      <c r="AT67" s="18"/>
      <c r="AU67" s="2"/>
      <c r="AV67" s="38"/>
      <c r="AX67" s="18" t="s">
        <v>27</v>
      </c>
      <c r="AY67" s="2"/>
      <c r="AZ67" s="11">
        <f>AZ50+SUM(AZ62:AZ66)</f>
        <v>515183.83437499998</v>
      </c>
      <c r="BB67" s="18"/>
      <c r="BC67" s="2"/>
      <c r="BD67" s="38"/>
      <c r="BF67" s="18" t="s">
        <v>27</v>
      </c>
      <c r="BG67" s="2"/>
      <c r="BH67" s="11">
        <f>BH50+SUM(BH62:BH66)</f>
        <v>300271.54499999993</v>
      </c>
    </row>
    <row r="68" spans="2:60" ht="13.5" thickTop="1" x14ac:dyDescent="0.3">
      <c r="D68" s="29"/>
      <c r="R68" s="18" t="s">
        <v>87</v>
      </c>
      <c r="Z68" s="18" t="s">
        <v>89</v>
      </c>
      <c r="AD68" s="18" t="s">
        <v>90</v>
      </c>
      <c r="AH68" s="18" t="s">
        <v>91</v>
      </c>
      <c r="AL68" s="18" t="s">
        <v>92</v>
      </c>
      <c r="AP68" s="18" t="s">
        <v>93</v>
      </c>
      <c r="AT68" s="18" t="s">
        <v>94</v>
      </c>
      <c r="AX68" s="18" t="s">
        <v>95</v>
      </c>
      <c r="BF68" s="18" t="s">
        <v>96</v>
      </c>
    </row>
    <row r="69" spans="2:60" x14ac:dyDescent="0.3">
      <c r="R69" s="15" t="s">
        <v>51</v>
      </c>
      <c r="Z69" s="15" t="s">
        <v>51</v>
      </c>
      <c r="AD69" s="15" t="s">
        <v>51</v>
      </c>
      <c r="AH69" s="15" t="s">
        <v>51</v>
      </c>
      <c r="AL69" s="15" t="s">
        <v>51</v>
      </c>
      <c r="AP69" s="15" t="s">
        <v>51</v>
      </c>
      <c r="AT69" s="15" t="s">
        <v>51</v>
      </c>
      <c r="AX69" s="15" t="s">
        <v>51</v>
      </c>
      <c r="BF69" s="15" t="s">
        <v>51</v>
      </c>
    </row>
    <row r="70" spans="2:60" x14ac:dyDescent="0.3">
      <c r="Z70" s="15" t="s">
        <v>53</v>
      </c>
      <c r="AD70" s="15" t="s">
        <v>56</v>
      </c>
      <c r="AT70" s="15" t="s">
        <v>61</v>
      </c>
      <c r="AX70" s="15" t="s">
        <v>56</v>
      </c>
      <c r="BF70" s="15" t="s">
        <v>66</v>
      </c>
    </row>
    <row r="71" spans="2:60" x14ac:dyDescent="0.3">
      <c r="AF71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workbookViewId="0">
      <pane ySplit="2" topLeftCell="A41" activePane="bottomLeft" state="frozen"/>
      <selection pane="bottomLeft" sqref="A1:P57"/>
    </sheetView>
  </sheetViews>
  <sheetFormatPr defaultRowHeight="13" x14ac:dyDescent="0.3"/>
  <cols>
    <col min="1" max="1" width="1.6328125" style="2" customWidth="1"/>
    <col min="2" max="2" width="4.36328125" style="2" customWidth="1"/>
    <col min="3" max="3" width="9.36328125" style="2" bestFit="1" customWidth="1"/>
    <col min="4" max="4" width="11.6328125" style="2" bestFit="1" customWidth="1"/>
    <col min="5" max="5" width="10.26953125" style="2" bestFit="1" customWidth="1"/>
    <col min="6" max="6" width="11.6328125" style="2" bestFit="1" customWidth="1"/>
    <col min="7" max="8" width="10.6328125" style="2" bestFit="1" customWidth="1"/>
    <col min="9" max="9" width="9.453125" style="2" bestFit="1" customWidth="1"/>
    <col min="10" max="10" width="12.90625" style="2" bestFit="1" customWidth="1"/>
    <col min="11" max="11" width="13.6328125" style="2" bestFit="1" customWidth="1"/>
    <col min="12" max="14" width="10.26953125" style="2" bestFit="1" customWidth="1"/>
    <col min="15" max="15" width="8.7265625" style="2"/>
    <col min="16" max="16" width="10.26953125" style="2" bestFit="1" customWidth="1"/>
    <col min="17" max="17" width="9.36328125" style="2" bestFit="1" customWidth="1"/>
    <col min="18" max="16384" width="8.7265625" style="2"/>
  </cols>
  <sheetData>
    <row r="1" spans="1:14" x14ac:dyDescent="0.3">
      <c r="B1" s="1" t="s">
        <v>84</v>
      </c>
      <c r="C1" s="1"/>
    </row>
    <row r="2" spans="1:14" s="6" customFormat="1" ht="26" customHeight="1" x14ac:dyDescent="0.35">
      <c r="A2" s="5"/>
      <c r="B2" s="7" t="s">
        <v>5</v>
      </c>
      <c r="C2" s="7" t="s">
        <v>67</v>
      </c>
      <c r="D2" s="7" t="s">
        <v>0</v>
      </c>
      <c r="E2" s="7" t="s">
        <v>1</v>
      </c>
      <c r="F2" s="7" t="s">
        <v>2</v>
      </c>
      <c r="G2" s="7" t="s">
        <v>6</v>
      </c>
      <c r="H2" s="7" t="s">
        <v>7</v>
      </c>
      <c r="I2" s="7" t="s">
        <v>3</v>
      </c>
      <c r="J2" s="7" t="s">
        <v>8</v>
      </c>
      <c r="K2" s="7" t="s">
        <v>9</v>
      </c>
      <c r="L2" s="7" t="s">
        <v>4</v>
      </c>
      <c r="M2" s="7" t="s">
        <v>10</v>
      </c>
      <c r="N2" s="7" t="s">
        <v>11</v>
      </c>
    </row>
    <row r="3" spans="1:14" x14ac:dyDescent="0.3">
      <c r="B3" s="3">
        <v>1</v>
      </c>
      <c r="C3" s="3" t="s">
        <v>68</v>
      </c>
      <c r="D3" s="2">
        <v>125170</v>
      </c>
      <c r="E3" s="2">
        <v>0</v>
      </c>
      <c r="F3" s="2">
        <f>D3+E3</f>
        <v>125170</v>
      </c>
      <c r="G3" s="2">
        <f>IF(D3&gt;9000,9000*6%,D3*6%)</f>
        <v>540</v>
      </c>
      <c r="H3" s="2">
        <f t="shared" ref="H3:H17" si="0">IF(F3&gt;99000,99000*6%,F3*6%-G3)</f>
        <v>5940</v>
      </c>
      <c r="I3" s="2">
        <f>G3+H3</f>
        <v>6480</v>
      </c>
      <c r="J3" s="14">
        <f t="shared" ref="J3:J17" si="1">5%*D3</f>
        <v>6258.5</v>
      </c>
      <c r="K3" s="2">
        <f>D3*10%</f>
        <v>12517</v>
      </c>
      <c r="L3" s="2">
        <f>SUM(G3:K3)</f>
        <v>31735.5</v>
      </c>
      <c r="M3" s="2">
        <v>30000</v>
      </c>
      <c r="N3" s="6">
        <f>IF(L3&gt;M3,L3-M3,0)</f>
        <v>1735.5</v>
      </c>
    </row>
    <row r="4" spans="1:14" x14ac:dyDescent="0.3">
      <c r="B4" s="3">
        <v>2</v>
      </c>
      <c r="C4" s="3" t="s">
        <v>69</v>
      </c>
      <c r="D4" s="2">
        <v>186340</v>
      </c>
      <c r="E4" s="2">
        <v>0</v>
      </c>
      <c r="F4" s="2">
        <f>D4+E4</f>
        <v>186340</v>
      </c>
      <c r="G4" s="2">
        <f>IF(D4&gt;9000,9000*6%,D4*6%)</f>
        <v>540</v>
      </c>
      <c r="H4" s="2">
        <f t="shared" si="0"/>
        <v>5940</v>
      </c>
      <c r="I4" s="2">
        <f>G4+H4</f>
        <v>6480</v>
      </c>
      <c r="J4" s="14">
        <f t="shared" si="1"/>
        <v>9317</v>
      </c>
      <c r="K4" s="2">
        <f t="shared" ref="K4:K17" si="2">D4*10%</f>
        <v>18634</v>
      </c>
      <c r="L4" s="2">
        <f>SUM(G4:K4)</f>
        <v>40911</v>
      </c>
      <c r="M4" s="2">
        <v>30000</v>
      </c>
      <c r="N4" s="6">
        <f t="shared" ref="N4:N17" si="3">IF(L4&gt;M4,L4-M4,0)</f>
        <v>10911</v>
      </c>
    </row>
    <row r="5" spans="1:14" x14ac:dyDescent="0.3">
      <c r="B5" s="3">
        <v>3</v>
      </c>
      <c r="C5" s="3" t="s">
        <v>70</v>
      </c>
      <c r="D5" s="2">
        <v>290950</v>
      </c>
      <c r="E5" s="2">
        <v>0</v>
      </c>
      <c r="F5" s="2">
        <f>D5+E5</f>
        <v>290950</v>
      </c>
      <c r="G5" s="2">
        <f>IF(D5&gt;9000,9000*6%,D5*6%)</f>
        <v>540</v>
      </c>
      <c r="H5" s="2">
        <f t="shared" si="0"/>
        <v>5940</v>
      </c>
      <c r="I5" s="2">
        <f>G5+H5</f>
        <v>6480</v>
      </c>
      <c r="J5" s="14">
        <f t="shared" si="1"/>
        <v>14547.5</v>
      </c>
      <c r="K5" s="2">
        <f t="shared" si="2"/>
        <v>29095</v>
      </c>
      <c r="L5" s="2">
        <f>SUM(G5:K5)</f>
        <v>56602.5</v>
      </c>
      <c r="M5" s="2">
        <v>30000</v>
      </c>
      <c r="N5" s="6">
        <f t="shared" si="3"/>
        <v>26602.5</v>
      </c>
    </row>
    <row r="6" spans="1:14" x14ac:dyDescent="0.3">
      <c r="B6" s="3">
        <v>4</v>
      </c>
      <c r="C6" s="3" t="s">
        <v>71</v>
      </c>
      <c r="D6" s="2">
        <v>64790</v>
      </c>
      <c r="E6" s="2">
        <v>0</v>
      </c>
      <c r="F6" s="2">
        <f t="shared" ref="F6:F17" si="4">D6+E6</f>
        <v>64790</v>
      </c>
      <c r="G6" s="2">
        <f t="shared" ref="G6:G17" si="5">IF(D6&gt;9000,9000*6%,D6*6%)</f>
        <v>540</v>
      </c>
      <c r="H6" s="2">
        <f t="shared" si="0"/>
        <v>3347.3999999999996</v>
      </c>
      <c r="I6" s="2">
        <f t="shared" ref="I6:I17" si="6">G6+H6</f>
        <v>3887.3999999999996</v>
      </c>
      <c r="J6" s="14">
        <f t="shared" si="1"/>
        <v>3239.5</v>
      </c>
      <c r="K6" s="2">
        <f t="shared" si="2"/>
        <v>6479</v>
      </c>
      <c r="L6" s="2">
        <f>SUM(G6:K6)</f>
        <v>17493.3</v>
      </c>
      <c r="M6" s="2">
        <v>30000</v>
      </c>
      <c r="N6" s="6">
        <f t="shared" si="3"/>
        <v>0</v>
      </c>
    </row>
    <row r="7" spans="1:14" x14ac:dyDescent="0.3">
      <c r="B7" s="25">
        <v>5</v>
      </c>
      <c r="C7" s="25" t="s">
        <v>72</v>
      </c>
      <c r="D7" s="14">
        <v>333243.90000000002</v>
      </c>
      <c r="E7" s="14">
        <f>15000+33324</f>
        <v>48324</v>
      </c>
      <c r="F7" s="14">
        <f t="shared" si="4"/>
        <v>381567.9</v>
      </c>
      <c r="G7" s="14">
        <f t="shared" si="5"/>
        <v>540</v>
      </c>
      <c r="H7" s="2">
        <f t="shared" si="0"/>
        <v>5940</v>
      </c>
      <c r="I7" s="14">
        <f t="shared" si="6"/>
        <v>6480</v>
      </c>
      <c r="J7" s="14">
        <f>5%*D7</f>
        <v>16662.195000000003</v>
      </c>
      <c r="K7" s="14">
        <f t="shared" si="2"/>
        <v>33324.390000000007</v>
      </c>
      <c r="L7" s="14">
        <f t="shared" ref="L7:L19" si="7">SUM(G7:K7)</f>
        <v>62946.585000000006</v>
      </c>
      <c r="M7" s="14">
        <v>30000</v>
      </c>
      <c r="N7" s="6">
        <f t="shared" si="3"/>
        <v>32946.585000000006</v>
      </c>
    </row>
    <row r="8" spans="1:14" x14ac:dyDescent="0.3">
      <c r="B8" s="3">
        <v>6</v>
      </c>
      <c r="C8" s="3" t="s">
        <v>73</v>
      </c>
      <c r="D8" s="2">
        <v>220000</v>
      </c>
      <c r="E8" s="2">
        <v>0</v>
      </c>
      <c r="F8" s="2">
        <f t="shared" si="4"/>
        <v>220000</v>
      </c>
      <c r="G8" s="2">
        <f t="shared" si="5"/>
        <v>540</v>
      </c>
      <c r="H8" s="2">
        <f t="shared" si="0"/>
        <v>5940</v>
      </c>
      <c r="I8" s="2">
        <f t="shared" si="6"/>
        <v>6480</v>
      </c>
      <c r="J8" s="14">
        <f t="shared" si="1"/>
        <v>11000</v>
      </c>
      <c r="K8" s="2">
        <f t="shared" si="2"/>
        <v>22000</v>
      </c>
      <c r="L8" s="2">
        <f t="shared" si="7"/>
        <v>45960</v>
      </c>
      <c r="M8" s="2">
        <v>30000</v>
      </c>
      <c r="N8" s="6">
        <f t="shared" si="3"/>
        <v>15960</v>
      </c>
    </row>
    <row r="9" spans="1:14" x14ac:dyDescent="0.3">
      <c r="B9" s="3">
        <v>7</v>
      </c>
      <c r="C9" s="3" t="s">
        <v>74</v>
      </c>
      <c r="D9" s="2">
        <v>426250</v>
      </c>
      <c r="E9" s="2">
        <f>(194170+20000+42625)</f>
        <v>256795</v>
      </c>
      <c r="F9" s="2">
        <f t="shared" si="4"/>
        <v>683045</v>
      </c>
      <c r="G9" s="2">
        <f t="shared" si="5"/>
        <v>540</v>
      </c>
      <c r="H9" s="2">
        <f t="shared" si="0"/>
        <v>5940</v>
      </c>
      <c r="I9" s="2">
        <f t="shared" si="6"/>
        <v>6480</v>
      </c>
      <c r="J9" s="14">
        <f t="shared" si="1"/>
        <v>21312.5</v>
      </c>
      <c r="K9" s="2">
        <f t="shared" si="2"/>
        <v>42625</v>
      </c>
      <c r="L9" s="2">
        <f t="shared" si="7"/>
        <v>76897.5</v>
      </c>
      <c r="M9" s="2">
        <v>30000</v>
      </c>
      <c r="N9" s="6">
        <f t="shared" si="3"/>
        <v>46897.5</v>
      </c>
    </row>
    <row r="10" spans="1:14" x14ac:dyDescent="0.3">
      <c r="B10" s="3">
        <v>8</v>
      </c>
      <c r="C10" s="3" t="s">
        <v>75</v>
      </c>
      <c r="D10" s="2">
        <v>580000</v>
      </c>
      <c r="E10" s="2">
        <f>20000+58000</f>
        <v>78000</v>
      </c>
      <c r="F10" s="2">
        <f t="shared" si="4"/>
        <v>658000</v>
      </c>
      <c r="G10" s="2">
        <f t="shared" si="5"/>
        <v>540</v>
      </c>
      <c r="H10" s="2">
        <f t="shared" si="0"/>
        <v>5940</v>
      </c>
      <c r="I10" s="2">
        <f t="shared" si="6"/>
        <v>6480</v>
      </c>
      <c r="J10" s="14">
        <f t="shared" si="1"/>
        <v>29000</v>
      </c>
      <c r="K10" s="2">
        <f t="shared" si="2"/>
        <v>58000</v>
      </c>
      <c r="L10" s="2">
        <f t="shared" si="7"/>
        <v>99960</v>
      </c>
      <c r="M10" s="2">
        <v>30000</v>
      </c>
      <c r="N10" s="6">
        <f t="shared" si="3"/>
        <v>69960</v>
      </c>
    </row>
    <row r="11" spans="1:14" x14ac:dyDescent="0.3">
      <c r="B11" s="3">
        <v>9</v>
      </c>
      <c r="C11" s="3" t="s">
        <v>76</v>
      </c>
      <c r="D11" s="2">
        <v>255750</v>
      </c>
      <c r="E11" s="2">
        <f>15000+25575</f>
        <v>40575</v>
      </c>
      <c r="F11" s="2">
        <f t="shared" si="4"/>
        <v>296325</v>
      </c>
      <c r="G11" s="2">
        <f t="shared" si="5"/>
        <v>540</v>
      </c>
      <c r="H11" s="2">
        <f t="shared" si="0"/>
        <v>5940</v>
      </c>
      <c r="I11" s="2">
        <f t="shared" si="6"/>
        <v>6480</v>
      </c>
      <c r="J11" s="14">
        <f t="shared" si="1"/>
        <v>12787.5</v>
      </c>
      <c r="K11" s="2">
        <f t="shared" si="2"/>
        <v>25575</v>
      </c>
      <c r="L11" s="2">
        <f t="shared" si="7"/>
        <v>51322.5</v>
      </c>
      <c r="M11" s="2">
        <v>30000</v>
      </c>
      <c r="N11" s="6">
        <f t="shared" si="3"/>
        <v>21322.5</v>
      </c>
    </row>
    <row r="12" spans="1:14" x14ac:dyDescent="0.3">
      <c r="B12" s="3">
        <v>10</v>
      </c>
      <c r="C12" s="3" t="s">
        <v>77</v>
      </c>
      <c r="D12" s="2">
        <v>426250</v>
      </c>
      <c r="E12" s="2">
        <f>20000+42625</f>
        <v>62625</v>
      </c>
      <c r="F12" s="2">
        <f t="shared" si="4"/>
        <v>488875</v>
      </c>
      <c r="G12" s="2">
        <f t="shared" si="5"/>
        <v>540</v>
      </c>
      <c r="H12" s="2">
        <f t="shared" si="0"/>
        <v>5940</v>
      </c>
      <c r="I12" s="2">
        <f t="shared" si="6"/>
        <v>6480</v>
      </c>
      <c r="J12" s="14">
        <f t="shared" si="1"/>
        <v>21312.5</v>
      </c>
      <c r="K12" s="2">
        <f t="shared" si="2"/>
        <v>42625</v>
      </c>
      <c r="L12" s="2">
        <f t="shared" si="7"/>
        <v>76897.5</v>
      </c>
      <c r="M12" s="2">
        <v>30000</v>
      </c>
      <c r="N12" s="6">
        <f t="shared" si="3"/>
        <v>46897.5</v>
      </c>
    </row>
    <row r="13" spans="1:14" x14ac:dyDescent="0.3">
      <c r="B13" s="3">
        <v>11</v>
      </c>
      <c r="C13" s="3" t="s">
        <v>79</v>
      </c>
      <c r="D13" s="2">
        <v>350000</v>
      </c>
      <c r="E13" s="2">
        <f>15000+35000</f>
        <v>50000</v>
      </c>
      <c r="F13" s="2">
        <f t="shared" si="4"/>
        <v>400000</v>
      </c>
      <c r="G13" s="2">
        <f t="shared" si="5"/>
        <v>540</v>
      </c>
      <c r="H13" s="2">
        <f t="shared" si="0"/>
        <v>5940</v>
      </c>
      <c r="I13" s="2">
        <f t="shared" si="6"/>
        <v>6480</v>
      </c>
      <c r="J13" s="14">
        <f t="shared" si="1"/>
        <v>17500</v>
      </c>
      <c r="K13" s="2">
        <f t="shared" si="2"/>
        <v>35000</v>
      </c>
      <c r="L13" s="2">
        <f t="shared" si="7"/>
        <v>65460</v>
      </c>
      <c r="M13" s="2">
        <v>30000</v>
      </c>
      <c r="N13" s="6">
        <f t="shared" si="3"/>
        <v>35460</v>
      </c>
    </row>
    <row r="14" spans="1:14" x14ac:dyDescent="0.3">
      <c r="B14" s="3">
        <v>12</v>
      </c>
      <c r="C14" s="3" t="s">
        <v>80</v>
      </c>
      <c r="D14" s="2">
        <v>333243.90000000002</v>
      </c>
      <c r="E14" s="2">
        <f>124540+15000+33324</f>
        <v>172864</v>
      </c>
      <c r="F14" s="2">
        <f t="shared" si="4"/>
        <v>506107.9</v>
      </c>
      <c r="G14" s="2">
        <f t="shared" si="5"/>
        <v>540</v>
      </c>
      <c r="H14" s="2">
        <f t="shared" si="0"/>
        <v>5940</v>
      </c>
      <c r="I14" s="2">
        <f t="shared" si="6"/>
        <v>6480</v>
      </c>
      <c r="J14" s="14">
        <f t="shared" si="1"/>
        <v>16662.195000000003</v>
      </c>
      <c r="K14" s="2">
        <f t="shared" si="2"/>
        <v>33324.390000000007</v>
      </c>
      <c r="L14" s="2">
        <f t="shared" si="7"/>
        <v>62946.585000000006</v>
      </c>
      <c r="M14" s="2">
        <v>30000</v>
      </c>
      <c r="N14" s="6">
        <f t="shared" si="3"/>
        <v>32946.585000000006</v>
      </c>
    </row>
    <row r="15" spans="1:14" x14ac:dyDescent="0.3">
      <c r="B15" s="3">
        <v>13</v>
      </c>
      <c r="C15" s="3" t="s">
        <v>81</v>
      </c>
      <c r="D15" s="2">
        <v>727500</v>
      </c>
      <c r="E15" s="2">
        <f>50000+72775</f>
        <v>122775</v>
      </c>
      <c r="F15" s="2">
        <f t="shared" si="4"/>
        <v>850275</v>
      </c>
      <c r="G15" s="2">
        <f t="shared" si="5"/>
        <v>540</v>
      </c>
      <c r="H15" s="2">
        <f t="shared" si="0"/>
        <v>5940</v>
      </c>
      <c r="I15" s="2">
        <f t="shared" si="6"/>
        <v>6480</v>
      </c>
      <c r="J15" s="14">
        <f t="shared" si="1"/>
        <v>36375</v>
      </c>
      <c r="K15" s="2">
        <f t="shared" si="2"/>
        <v>72750</v>
      </c>
      <c r="L15" s="2">
        <f t="shared" si="7"/>
        <v>122085</v>
      </c>
      <c r="M15" s="2">
        <v>30000</v>
      </c>
      <c r="N15" s="6">
        <f t="shared" si="3"/>
        <v>92085</v>
      </c>
    </row>
    <row r="16" spans="1:14" x14ac:dyDescent="0.3">
      <c r="B16" s="3">
        <v>14</v>
      </c>
      <c r="C16" s="3" t="s">
        <v>82</v>
      </c>
      <c r="D16" s="2">
        <v>38500</v>
      </c>
      <c r="E16" s="2">
        <v>0</v>
      </c>
      <c r="F16" s="2">
        <f t="shared" si="4"/>
        <v>38500</v>
      </c>
      <c r="G16" s="2">
        <f t="shared" si="5"/>
        <v>540</v>
      </c>
      <c r="H16" s="2">
        <f t="shared" si="0"/>
        <v>1770</v>
      </c>
      <c r="I16" s="2">
        <f t="shared" si="6"/>
        <v>2310</v>
      </c>
      <c r="J16" s="14">
        <f t="shared" si="1"/>
        <v>1925</v>
      </c>
      <c r="K16" s="2">
        <f t="shared" si="2"/>
        <v>3850</v>
      </c>
      <c r="L16" s="2">
        <f t="shared" si="7"/>
        <v>10395</v>
      </c>
      <c r="M16" s="2">
        <v>30000</v>
      </c>
      <c r="N16" s="6">
        <f t="shared" si="3"/>
        <v>0</v>
      </c>
    </row>
    <row r="17" spans="2:14" x14ac:dyDescent="0.3">
      <c r="B17" s="3">
        <v>15</v>
      </c>
      <c r="C17" s="3" t="s">
        <v>83</v>
      </c>
      <c r="D17" s="2">
        <v>693564</v>
      </c>
      <c r="E17" s="2">
        <f>20000+69356</f>
        <v>89356</v>
      </c>
      <c r="F17" s="2">
        <f t="shared" si="4"/>
        <v>782920</v>
      </c>
      <c r="G17" s="2">
        <f t="shared" si="5"/>
        <v>540</v>
      </c>
      <c r="H17" s="2">
        <f t="shared" si="0"/>
        <v>5940</v>
      </c>
      <c r="I17" s="2">
        <f t="shared" si="6"/>
        <v>6480</v>
      </c>
      <c r="J17" s="14">
        <f t="shared" si="1"/>
        <v>34678.200000000004</v>
      </c>
      <c r="K17" s="2">
        <f t="shared" si="2"/>
        <v>69356.400000000009</v>
      </c>
      <c r="L17" s="2">
        <f t="shared" si="7"/>
        <v>116994.6</v>
      </c>
      <c r="M17" s="2">
        <v>30000</v>
      </c>
      <c r="N17" s="6">
        <f t="shared" si="3"/>
        <v>86994.6</v>
      </c>
    </row>
    <row r="18" spans="2:14" ht="13.5" thickBot="1" x14ac:dyDescent="0.35">
      <c r="B18" s="3"/>
      <c r="C18" s="3"/>
      <c r="D18" s="49">
        <f>SUM(D3:D17)</f>
        <v>5051551.8</v>
      </c>
      <c r="E18" s="49">
        <f t="shared" ref="E18:K18" si="8">SUM(E3:E17)</f>
        <v>921314</v>
      </c>
      <c r="F18" s="49">
        <f t="shared" si="8"/>
        <v>5972865.7999999998</v>
      </c>
      <c r="G18" s="49">
        <f t="shared" si="8"/>
        <v>8100</v>
      </c>
      <c r="H18" s="49">
        <f t="shared" si="8"/>
        <v>82337.399999999994</v>
      </c>
      <c r="I18" s="49">
        <f t="shared" si="8"/>
        <v>90437.4</v>
      </c>
      <c r="J18" s="49">
        <f t="shared" si="8"/>
        <v>252577.59000000003</v>
      </c>
      <c r="K18" s="49">
        <f t="shared" si="8"/>
        <v>505155.18000000005</v>
      </c>
      <c r="L18" s="49">
        <f t="shared" ref="L18" si="9">SUM(L3:L17)</f>
        <v>938607.57</v>
      </c>
      <c r="M18" s="49">
        <f t="shared" ref="M18" si="10">SUM(M3:M17)</f>
        <v>450000</v>
      </c>
      <c r="N18" s="49">
        <f t="shared" ref="N18" si="11">SUM(N3:N17)</f>
        <v>520719.27</v>
      </c>
    </row>
    <row r="19" spans="2:14" ht="13.5" thickTop="1" x14ac:dyDescent="0.3">
      <c r="B19" s="3"/>
      <c r="C19" s="3"/>
      <c r="J19" s="14"/>
      <c r="L19" s="2">
        <f t="shared" si="7"/>
        <v>0</v>
      </c>
    </row>
    <row r="20" spans="2:14" x14ac:dyDescent="0.3">
      <c r="B20" s="1" t="s">
        <v>85</v>
      </c>
      <c r="C20" s="1"/>
      <c r="D20" s="1"/>
    </row>
    <row r="21" spans="2:14" ht="39" x14ac:dyDescent="0.3">
      <c r="B21" s="7" t="s">
        <v>5</v>
      </c>
      <c r="C21" s="7" t="s">
        <v>67</v>
      </c>
      <c r="D21" s="7" t="s">
        <v>0</v>
      </c>
      <c r="E21" s="7" t="s">
        <v>1</v>
      </c>
      <c r="F21" s="7" t="s">
        <v>2</v>
      </c>
      <c r="G21" s="7" t="s">
        <v>6</v>
      </c>
      <c r="H21" s="7" t="s">
        <v>7</v>
      </c>
      <c r="I21" s="7" t="s">
        <v>3</v>
      </c>
      <c r="J21" s="7" t="s">
        <v>37</v>
      </c>
      <c r="K21" s="7" t="s">
        <v>38</v>
      </c>
      <c r="L21" s="7" t="s">
        <v>4</v>
      </c>
      <c r="M21" s="7" t="s">
        <v>10</v>
      </c>
      <c r="N21" s="7" t="s">
        <v>11</v>
      </c>
    </row>
    <row r="22" spans="2:14" x14ac:dyDescent="0.3">
      <c r="B22" s="3">
        <v>1</v>
      </c>
      <c r="C22" s="3" t="s">
        <v>68</v>
      </c>
      <c r="D22" s="2">
        <f>D3</f>
        <v>125170</v>
      </c>
      <c r="E22" s="2">
        <f t="shared" ref="E22:M22" si="12">E3</f>
        <v>0</v>
      </c>
      <c r="F22" s="2">
        <f t="shared" si="12"/>
        <v>125170</v>
      </c>
      <c r="G22" s="2">
        <f t="shared" si="12"/>
        <v>540</v>
      </c>
      <c r="H22" s="2">
        <f t="shared" si="12"/>
        <v>5940</v>
      </c>
      <c r="I22" s="2">
        <f t="shared" si="12"/>
        <v>6480</v>
      </c>
      <c r="J22" s="2">
        <f t="shared" si="12"/>
        <v>6258.5</v>
      </c>
      <c r="K22" s="2">
        <f t="shared" si="12"/>
        <v>12517</v>
      </c>
      <c r="L22" s="2">
        <f t="shared" si="12"/>
        <v>31735.5</v>
      </c>
      <c r="M22" s="2">
        <f t="shared" si="12"/>
        <v>30000</v>
      </c>
      <c r="N22" s="2">
        <f>IF(L22&gt;M22,L22-M22,0)</f>
        <v>1735.5</v>
      </c>
    </row>
    <row r="23" spans="2:14" x14ac:dyDescent="0.3">
      <c r="B23" s="3">
        <v>2</v>
      </c>
      <c r="C23" s="3" t="s">
        <v>69</v>
      </c>
      <c r="D23" s="2">
        <f t="shared" ref="D23:F36" si="13">D4</f>
        <v>186340</v>
      </c>
      <c r="E23" s="2">
        <f t="shared" si="13"/>
        <v>0</v>
      </c>
      <c r="F23" s="2">
        <f t="shared" si="13"/>
        <v>186340</v>
      </c>
      <c r="G23" s="2">
        <f t="shared" ref="G23:G36" si="14">IF(F23&gt;9000,9000*6%,F23*6%)</f>
        <v>540</v>
      </c>
      <c r="H23" s="2">
        <f t="shared" ref="H23:H36" si="15">IF(F23&gt;99000,99000*6%,F23*6%-540)</f>
        <v>5940</v>
      </c>
      <c r="I23" s="2">
        <f t="shared" ref="I23:I36" si="16">SUM(G23:H23)</f>
        <v>6480</v>
      </c>
      <c r="J23" s="2">
        <f t="shared" ref="J23:J36" si="17">5%*F23</f>
        <v>9317</v>
      </c>
      <c r="K23" s="2">
        <f t="shared" ref="K23:K36" si="18">10%*D23</f>
        <v>18634</v>
      </c>
      <c r="L23" s="2">
        <f t="shared" ref="L23:L36" si="19">SUM(G23:K23)</f>
        <v>40911</v>
      </c>
      <c r="M23" s="2">
        <v>30000</v>
      </c>
      <c r="N23" s="2">
        <f t="shared" ref="N23:N36" si="20">IF(L23&gt;M23,L23-M23,0)</f>
        <v>10911</v>
      </c>
    </row>
    <row r="24" spans="2:14" x14ac:dyDescent="0.3">
      <c r="B24" s="3">
        <v>3</v>
      </c>
      <c r="C24" s="3" t="s">
        <v>70</v>
      </c>
      <c r="D24" s="2">
        <f t="shared" si="13"/>
        <v>290950</v>
      </c>
      <c r="E24" s="2">
        <f t="shared" si="13"/>
        <v>0</v>
      </c>
      <c r="F24" s="2">
        <f t="shared" si="13"/>
        <v>290950</v>
      </c>
      <c r="G24" s="2">
        <f t="shared" si="14"/>
        <v>540</v>
      </c>
      <c r="H24" s="2">
        <f t="shared" si="15"/>
        <v>5940</v>
      </c>
      <c r="I24" s="2">
        <f t="shared" si="16"/>
        <v>6480</v>
      </c>
      <c r="J24" s="2">
        <f t="shared" si="17"/>
        <v>14547.5</v>
      </c>
      <c r="K24" s="2">
        <f t="shared" si="18"/>
        <v>29095</v>
      </c>
      <c r="L24" s="2">
        <f t="shared" si="19"/>
        <v>56602.5</v>
      </c>
      <c r="M24" s="2">
        <v>30000</v>
      </c>
      <c r="N24" s="2">
        <f t="shared" si="20"/>
        <v>26602.5</v>
      </c>
    </row>
    <row r="25" spans="2:14" x14ac:dyDescent="0.3">
      <c r="B25" s="3">
        <v>4</v>
      </c>
      <c r="C25" s="3" t="s">
        <v>71</v>
      </c>
      <c r="D25" s="2">
        <f t="shared" si="13"/>
        <v>64790</v>
      </c>
      <c r="E25" s="2">
        <f t="shared" si="13"/>
        <v>0</v>
      </c>
      <c r="F25" s="2">
        <f t="shared" si="13"/>
        <v>64790</v>
      </c>
      <c r="G25" s="2">
        <f t="shared" si="14"/>
        <v>540</v>
      </c>
      <c r="H25" s="2">
        <f t="shared" si="15"/>
        <v>3347.3999999999996</v>
      </c>
      <c r="I25" s="2">
        <f t="shared" si="16"/>
        <v>3887.3999999999996</v>
      </c>
      <c r="J25" s="2">
        <f t="shared" si="17"/>
        <v>3239.5</v>
      </c>
      <c r="K25" s="2">
        <f t="shared" si="18"/>
        <v>6479</v>
      </c>
      <c r="L25" s="2">
        <f t="shared" si="19"/>
        <v>17493.3</v>
      </c>
      <c r="M25" s="2">
        <v>30000</v>
      </c>
      <c r="N25" s="2">
        <f t="shared" si="20"/>
        <v>0</v>
      </c>
    </row>
    <row r="26" spans="2:14" s="14" customFormat="1" x14ac:dyDescent="0.3">
      <c r="B26" s="25">
        <v>5</v>
      </c>
      <c r="C26" s="25" t="s">
        <v>72</v>
      </c>
      <c r="D26" s="2">
        <f t="shared" si="13"/>
        <v>333243.90000000002</v>
      </c>
      <c r="E26" s="2">
        <f t="shared" si="13"/>
        <v>48324</v>
      </c>
      <c r="F26" s="2">
        <f t="shared" si="13"/>
        <v>381567.9</v>
      </c>
      <c r="G26" s="2">
        <f t="shared" si="14"/>
        <v>540</v>
      </c>
      <c r="H26" s="2">
        <f t="shared" si="15"/>
        <v>5940</v>
      </c>
      <c r="I26" s="2">
        <f t="shared" si="16"/>
        <v>6480</v>
      </c>
      <c r="J26" s="2">
        <f t="shared" si="17"/>
        <v>19078.395</v>
      </c>
      <c r="K26" s="2">
        <f t="shared" si="18"/>
        <v>33324.390000000007</v>
      </c>
      <c r="L26" s="2">
        <f t="shared" si="19"/>
        <v>65362.785000000003</v>
      </c>
      <c r="M26" s="2">
        <v>30000</v>
      </c>
      <c r="N26" s="2">
        <f t="shared" si="20"/>
        <v>35362.785000000003</v>
      </c>
    </row>
    <row r="27" spans="2:14" x14ac:dyDescent="0.3">
      <c r="B27" s="3">
        <v>6</v>
      </c>
      <c r="C27" s="3" t="s">
        <v>73</v>
      </c>
      <c r="D27" s="2">
        <f t="shared" si="13"/>
        <v>220000</v>
      </c>
      <c r="E27" s="2">
        <f t="shared" si="13"/>
        <v>0</v>
      </c>
      <c r="F27" s="2">
        <f t="shared" si="13"/>
        <v>220000</v>
      </c>
      <c r="G27" s="2">
        <f t="shared" si="14"/>
        <v>540</v>
      </c>
      <c r="H27" s="2">
        <f t="shared" si="15"/>
        <v>5940</v>
      </c>
      <c r="I27" s="2">
        <f t="shared" si="16"/>
        <v>6480</v>
      </c>
      <c r="J27" s="2">
        <f t="shared" si="17"/>
        <v>11000</v>
      </c>
      <c r="K27" s="2">
        <f t="shared" si="18"/>
        <v>22000</v>
      </c>
      <c r="L27" s="2">
        <f t="shared" si="19"/>
        <v>45960</v>
      </c>
      <c r="M27" s="2">
        <v>30000</v>
      </c>
      <c r="N27" s="2">
        <f t="shared" si="20"/>
        <v>15960</v>
      </c>
    </row>
    <row r="28" spans="2:14" x14ac:dyDescent="0.3">
      <c r="B28" s="3">
        <v>7</v>
      </c>
      <c r="C28" s="3" t="s">
        <v>74</v>
      </c>
      <c r="D28" s="2">
        <f t="shared" si="13"/>
        <v>426250</v>
      </c>
      <c r="E28" s="2">
        <f t="shared" si="13"/>
        <v>256795</v>
      </c>
      <c r="F28" s="2">
        <f t="shared" si="13"/>
        <v>683045</v>
      </c>
      <c r="G28" s="2">
        <f t="shared" si="14"/>
        <v>540</v>
      </c>
      <c r="H28" s="2">
        <f t="shared" si="15"/>
        <v>5940</v>
      </c>
      <c r="I28" s="2">
        <f t="shared" si="16"/>
        <v>6480</v>
      </c>
      <c r="J28" s="2">
        <f t="shared" si="17"/>
        <v>34152.25</v>
      </c>
      <c r="K28" s="2">
        <f t="shared" si="18"/>
        <v>42625</v>
      </c>
      <c r="L28" s="2">
        <f t="shared" si="19"/>
        <v>89737.25</v>
      </c>
      <c r="M28" s="2">
        <v>30000</v>
      </c>
      <c r="N28" s="2">
        <f t="shared" si="20"/>
        <v>59737.25</v>
      </c>
    </row>
    <row r="29" spans="2:14" x14ac:dyDescent="0.3">
      <c r="B29" s="3">
        <v>8</v>
      </c>
      <c r="C29" s="3" t="s">
        <v>75</v>
      </c>
      <c r="D29" s="2">
        <f t="shared" si="13"/>
        <v>580000</v>
      </c>
      <c r="E29" s="2">
        <f t="shared" si="13"/>
        <v>78000</v>
      </c>
      <c r="F29" s="2">
        <f t="shared" si="13"/>
        <v>658000</v>
      </c>
      <c r="G29" s="2">
        <f t="shared" si="14"/>
        <v>540</v>
      </c>
      <c r="H29" s="2">
        <f t="shared" si="15"/>
        <v>5940</v>
      </c>
      <c r="I29" s="2">
        <f t="shared" si="16"/>
        <v>6480</v>
      </c>
      <c r="J29" s="2">
        <f t="shared" si="17"/>
        <v>32900</v>
      </c>
      <c r="K29" s="2">
        <f t="shared" si="18"/>
        <v>58000</v>
      </c>
      <c r="L29" s="2">
        <f t="shared" si="19"/>
        <v>103860</v>
      </c>
      <c r="M29" s="2">
        <v>30000</v>
      </c>
      <c r="N29" s="2">
        <f t="shared" si="20"/>
        <v>73860</v>
      </c>
    </row>
    <row r="30" spans="2:14" x14ac:dyDescent="0.3">
      <c r="B30" s="3">
        <v>9</v>
      </c>
      <c r="C30" s="3" t="s">
        <v>76</v>
      </c>
      <c r="D30" s="2">
        <f t="shared" si="13"/>
        <v>255750</v>
      </c>
      <c r="E30" s="2">
        <f t="shared" si="13"/>
        <v>40575</v>
      </c>
      <c r="F30" s="2">
        <f t="shared" si="13"/>
        <v>296325</v>
      </c>
      <c r="G30" s="2">
        <f t="shared" si="14"/>
        <v>540</v>
      </c>
      <c r="H30" s="2">
        <f t="shared" si="15"/>
        <v>5940</v>
      </c>
      <c r="I30" s="2">
        <f t="shared" si="16"/>
        <v>6480</v>
      </c>
      <c r="J30" s="2">
        <f t="shared" si="17"/>
        <v>14816.25</v>
      </c>
      <c r="K30" s="2">
        <f t="shared" si="18"/>
        <v>25575</v>
      </c>
      <c r="L30" s="2">
        <f t="shared" si="19"/>
        <v>53351.25</v>
      </c>
      <c r="M30" s="2">
        <v>30000</v>
      </c>
      <c r="N30" s="2">
        <f t="shared" si="20"/>
        <v>23351.25</v>
      </c>
    </row>
    <row r="31" spans="2:14" x14ac:dyDescent="0.3">
      <c r="B31" s="3">
        <v>10</v>
      </c>
      <c r="C31" s="3" t="s">
        <v>77</v>
      </c>
      <c r="D31" s="2">
        <f t="shared" si="13"/>
        <v>426250</v>
      </c>
      <c r="E31" s="2">
        <f t="shared" si="13"/>
        <v>62625</v>
      </c>
      <c r="F31" s="2">
        <f t="shared" si="13"/>
        <v>488875</v>
      </c>
      <c r="G31" s="2">
        <f t="shared" si="14"/>
        <v>540</v>
      </c>
      <c r="H31" s="2">
        <f t="shared" si="15"/>
        <v>5940</v>
      </c>
      <c r="I31" s="2">
        <f t="shared" si="16"/>
        <v>6480</v>
      </c>
      <c r="J31" s="2">
        <f t="shared" si="17"/>
        <v>24443.75</v>
      </c>
      <c r="K31" s="2">
        <f t="shared" si="18"/>
        <v>42625</v>
      </c>
      <c r="L31" s="2">
        <f t="shared" si="19"/>
        <v>80028.75</v>
      </c>
      <c r="M31" s="2">
        <v>30000</v>
      </c>
      <c r="N31" s="2">
        <f t="shared" si="20"/>
        <v>50028.75</v>
      </c>
    </row>
    <row r="32" spans="2:14" x14ac:dyDescent="0.3">
      <c r="B32" s="3">
        <v>11</v>
      </c>
      <c r="C32" s="3" t="s">
        <v>79</v>
      </c>
      <c r="D32" s="2">
        <f t="shared" si="13"/>
        <v>350000</v>
      </c>
      <c r="E32" s="2">
        <f t="shared" si="13"/>
        <v>50000</v>
      </c>
      <c r="F32" s="2">
        <f t="shared" si="13"/>
        <v>400000</v>
      </c>
      <c r="G32" s="2">
        <f t="shared" si="14"/>
        <v>540</v>
      </c>
      <c r="H32" s="2">
        <f t="shared" si="15"/>
        <v>5940</v>
      </c>
      <c r="I32" s="2">
        <f t="shared" si="16"/>
        <v>6480</v>
      </c>
      <c r="J32" s="2">
        <f t="shared" si="17"/>
        <v>20000</v>
      </c>
      <c r="K32" s="2">
        <f t="shared" si="18"/>
        <v>35000</v>
      </c>
      <c r="L32" s="2">
        <f t="shared" si="19"/>
        <v>67960</v>
      </c>
      <c r="M32" s="2">
        <v>30000</v>
      </c>
      <c r="N32" s="2">
        <f t="shared" si="20"/>
        <v>37960</v>
      </c>
    </row>
    <row r="33" spans="2:14" x14ac:dyDescent="0.3">
      <c r="B33" s="3">
        <v>12</v>
      </c>
      <c r="C33" s="3" t="s">
        <v>80</v>
      </c>
      <c r="D33" s="2">
        <f t="shared" si="13"/>
        <v>333243.90000000002</v>
      </c>
      <c r="E33" s="2">
        <f t="shared" si="13"/>
        <v>172864</v>
      </c>
      <c r="F33" s="2">
        <f t="shared" si="13"/>
        <v>506107.9</v>
      </c>
      <c r="G33" s="2">
        <f t="shared" si="14"/>
        <v>540</v>
      </c>
      <c r="H33" s="2">
        <f t="shared" si="15"/>
        <v>5940</v>
      </c>
      <c r="I33" s="2">
        <f t="shared" si="16"/>
        <v>6480</v>
      </c>
      <c r="J33" s="2">
        <f t="shared" si="17"/>
        <v>25305.395000000004</v>
      </c>
      <c r="K33" s="2">
        <f t="shared" si="18"/>
        <v>33324.390000000007</v>
      </c>
      <c r="L33" s="2">
        <f t="shared" si="19"/>
        <v>71589.785000000003</v>
      </c>
      <c r="M33" s="2">
        <v>30000</v>
      </c>
      <c r="N33" s="2">
        <f t="shared" si="20"/>
        <v>41589.785000000003</v>
      </c>
    </row>
    <row r="34" spans="2:14" x14ac:dyDescent="0.3">
      <c r="B34" s="3">
        <v>13</v>
      </c>
      <c r="C34" s="3" t="s">
        <v>81</v>
      </c>
      <c r="D34" s="2">
        <f t="shared" si="13"/>
        <v>727500</v>
      </c>
      <c r="E34" s="2">
        <f t="shared" si="13"/>
        <v>122775</v>
      </c>
      <c r="F34" s="2">
        <f t="shared" si="13"/>
        <v>850275</v>
      </c>
      <c r="G34" s="2">
        <f t="shared" si="14"/>
        <v>540</v>
      </c>
      <c r="H34" s="2">
        <f t="shared" si="15"/>
        <v>5940</v>
      </c>
      <c r="I34" s="2">
        <f t="shared" si="16"/>
        <v>6480</v>
      </c>
      <c r="J34" s="2">
        <f t="shared" si="17"/>
        <v>42513.75</v>
      </c>
      <c r="K34" s="2">
        <f t="shared" si="18"/>
        <v>72750</v>
      </c>
      <c r="L34" s="2">
        <f t="shared" si="19"/>
        <v>128223.75</v>
      </c>
      <c r="M34" s="2">
        <v>30000</v>
      </c>
      <c r="N34" s="2">
        <f t="shared" si="20"/>
        <v>98223.75</v>
      </c>
    </row>
    <row r="35" spans="2:14" x14ac:dyDescent="0.3">
      <c r="B35" s="3">
        <v>14</v>
      </c>
      <c r="C35" s="3" t="s">
        <v>82</v>
      </c>
      <c r="D35" s="2">
        <f t="shared" si="13"/>
        <v>38500</v>
      </c>
      <c r="E35" s="2">
        <f t="shared" si="13"/>
        <v>0</v>
      </c>
      <c r="F35" s="2">
        <f t="shared" si="13"/>
        <v>38500</v>
      </c>
      <c r="G35" s="2">
        <f t="shared" si="14"/>
        <v>540</v>
      </c>
      <c r="H35" s="2">
        <f t="shared" si="15"/>
        <v>1770</v>
      </c>
      <c r="I35" s="2">
        <f t="shared" si="16"/>
        <v>2310</v>
      </c>
      <c r="J35" s="2">
        <f t="shared" si="17"/>
        <v>1925</v>
      </c>
      <c r="K35" s="2">
        <f t="shared" si="18"/>
        <v>3850</v>
      </c>
      <c r="L35" s="2">
        <f t="shared" si="19"/>
        <v>10395</v>
      </c>
      <c r="M35" s="2">
        <v>30000</v>
      </c>
      <c r="N35" s="2">
        <f t="shared" si="20"/>
        <v>0</v>
      </c>
    </row>
    <row r="36" spans="2:14" x14ac:dyDescent="0.3">
      <c r="B36" s="3">
        <v>15</v>
      </c>
      <c r="C36" s="3" t="s">
        <v>83</v>
      </c>
      <c r="D36" s="2">
        <f t="shared" si="13"/>
        <v>693564</v>
      </c>
      <c r="E36" s="2">
        <f t="shared" si="13"/>
        <v>89356</v>
      </c>
      <c r="F36" s="2">
        <f t="shared" si="13"/>
        <v>782920</v>
      </c>
      <c r="G36" s="2">
        <f t="shared" si="14"/>
        <v>540</v>
      </c>
      <c r="H36" s="2">
        <f t="shared" si="15"/>
        <v>5940</v>
      </c>
      <c r="I36" s="2">
        <f t="shared" si="16"/>
        <v>6480</v>
      </c>
      <c r="J36" s="2">
        <f t="shared" si="17"/>
        <v>39146</v>
      </c>
      <c r="K36" s="2">
        <f t="shared" si="18"/>
        <v>69356.400000000009</v>
      </c>
      <c r="L36" s="2">
        <f t="shared" si="19"/>
        <v>121462.40000000001</v>
      </c>
      <c r="M36" s="2">
        <v>30000</v>
      </c>
      <c r="N36" s="2">
        <f t="shared" si="20"/>
        <v>91462.400000000009</v>
      </c>
    </row>
    <row r="37" spans="2:14" ht="13.5" thickBot="1" x14ac:dyDescent="0.35">
      <c r="B37" s="3"/>
      <c r="C37" s="3"/>
      <c r="D37" s="49">
        <f>SUM(D22:D36)</f>
        <v>5051551.8</v>
      </c>
      <c r="E37" s="49">
        <f t="shared" ref="E37:N37" si="21">SUM(E22:E36)</f>
        <v>921314</v>
      </c>
      <c r="F37" s="49">
        <f t="shared" si="21"/>
        <v>5972865.7999999998</v>
      </c>
      <c r="G37" s="49">
        <f t="shared" si="21"/>
        <v>8100</v>
      </c>
      <c r="H37" s="49">
        <f t="shared" si="21"/>
        <v>82337.399999999994</v>
      </c>
      <c r="I37" s="49">
        <f t="shared" si="21"/>
        <v>90437.4</v>
      </c>
      <c r="J37" s="49">
        <f t="shared" si="21"/>
        <v>298643.29000000004</v>
      </c>
      <c r="K37" s="49">
        <f t="shared" si="21"/>
        <v>505155.18000000005</v>
      </c>
      <c r="L37" s="49">
        <f t="shared" si="21"/>
        <v>984673.27</v>
      </c>
      <c r="M37" s="49">
        <f t="shared" si="21"/>
        <v>450000</v>
      </c>
      <c r="N37" s="49">
        <f t="shared" si="21"/>
        <v>566784.97000000009</v>
      </c>
    </row>
    <row r="38" spans="2:14" ht="13.5" thickTop="1" x14ac:dyDescent="0.3"/>
    <row r="39" spans="2:14" x14ac:dyDescent="0.3">
      <c r="B39" s="1" t="s">
        <v>86</v>
      </c>
      <c r="C39" s="1"/>
    </row>
    <row r="40" spans="2:14" ht="39" x14ac:dyDescent="0.3">
      <c r="B40" s="7" t="s">
        <v>5</v>
      </c>
      <c r="C40" s="7" t="s">
        <v>67</v>
      </c>
      <c r="D40" s="7" t="s">
        <v>0</v>
      </c>
      <c r="E40" s="7" t="s">
        <v>1</v>
      </c>
      <c r="F40" s="7" t="s">
        <v>2</v>
      </c>
      <c r="G40" s="7" t="s">
        <v>6</v>
      </c>
      <c r="H40" s="7" t="s">
        <v>7</v>
      </c>
      <c r="I40" s="7" t="s">
        <v>3</v>
      </c>
      <c r="J40" s="7" t="s">
        <v>37</v>
      </c>
      <c r="K40" s="7" t="s">
        <v>38</v>
      </c>
      <c r="L40" s="7" t="s">
        <v>4</v>
      </c>
      <c r="M40" s="7" t="s">
        <v>10</v>
      </c>
      <c r="N40" s="7" t="s">
        <v>11</v>
      </c>
    </row>
    <row r="41" spans="2:14" x14ac:dyDescent="0.3">
      <c r="B41" s="3">
        <v>1</v>
      </c>
      <c r="C41" s="3" t="s">
        <v>68</v>
      </c>
      <c r="D41" s="2">
        <f t="shared" ref="D41:N41" si="22">D3-D22</f>
        <v>0</v>
      </c>
      <c r="E41" s="2">
        <f t="shared" si="22"/>
        <v>0</v>
      </c>
      <c r="F41" s="2">
        <f t="shared" si="22"/>
        <v>0</v>
      </c>
      <c r="G41" s="2">
        <f t="shared" si="22"/>
        <v>0</v>
      </c>
      <c r="H41" s="2">
        <f t="shared" si="22"/>
        <v>0</v>
      </c>
      <c r="I41" s="2">
        <f t="shared" si="22"/>
        <v>0</v>
      </c>
      <c r="J41" s="2">
        <f t="shared" si="22"/>
        <v>0</v>
      </c>
      <c r="K41" s="2">
        <f t="shared" si="22"/>
        <v>0</v>
      </c>
      <c r="L41" s="2">
        <f t="shared" si="22"/>
        <v>0</v>
      </c>
      <c r="M41" s="2">
        <f t="shared" si="22"/>
        <v>0</v>
      </c>
      <c r="N41" s="2">
        <f t="shared" si="22"/>
        <v>0</v>
      </c>
    </row>
    <row r="42" spans="2:14" x14ac:dyDescent="0.3">
      <c r="B42" s="3">
        <v>2</v>
      </c>
      <c r="C42" s="3" t="s">
        <v>69</v>
      </c>
      <c r="D42" s="2">
        <f t="shared" ref="D42:D55" si="23">D4-D23</f>
        <v>0</v>
      </c>
      <c r="E42" s="2">
        <v>0</v>
      </c>
      <c r="F42" s="2">
        <f t="shared" ref="F42:F43" si="24">D42+E42</f>
        <v>0</v>
      </c>
      <c r="G42" s="2">
        <f t="shared" ref="G42:N55" si="25">G4-G23</f>
        <v>0</v>
      </c>
      <c r="H42" s="2">
        <f t="shared" si="25"/>
        <v>0</v>
      </c>
      <c r="I42" s="2">
        <f t="shared" si="25"/>
        <v>0</v>
      </c>
      <c r="J42" s="2">
        <f t="shared" si="25"/>
        <v>0</v>
      </c>
      <c r="K42" s="2">
        <f t="shared" si="25"/>
        <v>0</v>
      </c>
      <c r="L42" s="2">
        <f t="shared" si="25"/>
        <v>0</v>
      </c>
      <c r="M42" s="2">
        <f t="shared" si="25"/>
        <v>0</v>
      </c>
      <c r="N42" s="2">
        <f t="shared" si="25"/>
        <v>0</v>
      </c>
    </row>
    <row r="43" spans="2:14" x14ac:dyDescent="0.3">
      <c r="B43" s="3">
        <v>3</v>
      </c>
      <c r="C43" s="3" t="s">
        <v>70</v>
      </c>
      <c r="D43" s="2">
        <f t="shared" si="23"/>
        <v>0</v>
      </c>
      <c r="E43" s="2">
        <v>0</v>
      </c>
      <c r="F43" s="2">
        <f t="shared" si="24"/>
        <v>0</v>
      </c>
      <c r="G43" s="2">
        <f t="shared" si="25"/>
        <v>0</v>
      </c>
      <c r="H43" s="2">
        <f t="shared" si="25"/>
        <v>0</v>
      </c>
      <c r="I43" s="2">
        <f t="shared" si="25"/>
        <v>0</v>
      </c>
      <c r="J43" s="2">
        <f t="shared" si="25"/>
        <v>0</v>
      </c>
      <c r="K43" s="2">
        <f t="shared" si="25"/>
        <v>0</v>
      </c>
      <c r="L43" s="2">
        <f t="shared" si="25"/>
        <v>0</v>
      </c>
      <c r="M43" s="2">
        <f t="shared" si="25"/>
        <v>0</v>
      </c>
      <c r="N43" s="2">
        <f t="shared" si="25"/>
        <v>0</v>
      </c>
    </row>
    <row r="44" spans="2:14" x14ac:dyDescent="0.3">
      <c r="B44" s="3">
        <v>4</v>
      </c>
      <c r="C44" s="3" t="s">
        <v>71</v>
      </c>
      <c r="D44" s="2">
        <f t="shared" si="23"/>
        <v>0</v>
      </c>
      <c r="E44" s="2">
        <v>0</v>
      </c>
      <c r="F44" s="2">
        <f t="shared" ref="F44:F55" si="26">D44+E44</f>
        <v>0</v>
      </c>
      <c r="G44" s="2">
        <f t="shared" si="25"/>
        <v>0</v>
      </c>
      <c r="H44" s="2">
        <f t="shared" si="25"/>
        <v>0</v>
      </c>
      <c r="I44" s="2">
        <f t="shared" si="25"/>
        <v>0</v>
      </c>
      <c r="J44" s="2">
        <f t="shared" si="25"/>
        <v>0</v>
      </c>
      <c r="K44" s="2">
        <f t="shared" si="25"/>
        <v>0</v>
      </c>
      <c r="L44" s="2">
        <f t="shared" si="25"/>
        <v>0</v>
      </c>
      <c r="M44" s="2">
        <f t="shared" si="25"/>
        <v>0</v>
      </c>
      <c r="N44" s="2">
        <f t="shared" si="25"/>
        <v>0</v>
      </c>
    </row>
    <row r="45" spans="2:14" x14ac:dyDescent="0.3">
      <c r="B45" s="25">
        <v>5</v>
      </c>
      <c r="C45" s="25" t="s">
        <v>72</v>
      </c>
      <c r="D45" s="2">
        <f t="shared" si="23"/>
        <v>0</v>
      </c>
      <c r="E45" s="2">
        <v>0</v>
      </c>
      <c r="F45" s="14">
        <f t="shared" si="26"/>
        <v>0</v>
      </c>
      <c r="G45" s="2">
        <f t="shared" si="25"/>
        <v>0</v>
      </c>
      <c r="H45" s="2">
        <f t="shared" si="25"/>
        <v>0</v>
      </c>
      <c r="I45" s="2">
        <f t="shared" si="25"/>
        <v>0</v>
      </c>
      <c r="J45" s="2">
        <f t="shared" si="25"/>
        <v>-2416.1999999999971</v>
      </c>
      <c r="K45" s="2">
        <f t="shared" si="25"/>
        <v>0</v>
      </c>
      <c r="L45" s="2">
        <f t="shared" si="25"/>
        <v>-2416.1999999999971</v>
      </c>
      <c r="M45" s="2">
        <f t="shared" si="25"/>
        <v>0</v>
      </c>
      <c r="N45" s="2">
        <f t="shared" si="25"/>
        <v>-2416.1999999999971</v>
      </c>
    </row>
    <row r="46" spans="2:14" x14ac:dyDescent="0.3">
      <c r="B46" s="3">
        <v>6</v>
      </c>
      <c r="C46" s="3" t="s">
        <v>73</v>
      </c>
      <c r="D46" s="2">
        <f t="shared" si="23"/>
        <v>0</v>
      </c>
      <c r="E46" s="2">
        <v>0</v>
      </c>
      <c r="F46" s="2">
        <f t="shared" si="26"/>
        <v>0</v>
      </c>
      <c r="G46" s="2">
        <f t="shared" si="25"/>
        <v>0</v>
      </c>
      <c r="H46" s="2">
        <f t="shared" si="25"/>
        <v>0</v>
      </c>
      <c r="I46" s="2">
        <f t="shared" si="25"/>
        <v>0</v>
      </c>
      <c r="J46" s="2">
        <f t="shared" si="25"/>
        <v>0</v>
      </c>
      <c r="K46" s="2">
        <f t="shared" si="25"/>
        <v>0</v>
      </c>
      <c r="L46" s="2">
        <f t="shared" si="25"/>
        <v>0</v>
      </c>
      <c r="M46" s="2">
        <f t="shared" si="25"/>
        <v>0</v>
      </c>
      <c r="N46" s="2">
        <f t="shared" si="25"/>
        <v>0</v>
      </c>
    </row>
    <row r="47" spans="2:14" x14ac:dyDescent="0.3">
      <c r="B47" s="3">
        <v>7</v>
      </c>
      <c r="C47" s="3" t="s">
        <v>74</v>
      </c>
      <c r="D47" s="2">
        <f t="shared" si="23"/>
        <v>0</v>
      </c>
      <c r="E47" s="2">
        <v>0</v>
      </c>
      <c r="F47" s="2">
        <f t="shared" si="26"/>
        <v>0</v>
      </c>
      <c r="G47" s="2">
        <f t="shared" si="25"/>
        <v>0</v>
      </c>
      <c r="H47" s="2">
        <f t="shared" si="25"/>
        <v>0</v>
      </c>
      <c r="I47" s="2">
        <f t="shared" si="25"/>
        <v>0</v>
      </c>
      <c r="J47" s="2">
        <f t="shared" si="25"/>
        <v>-12839.75</v>
      </c>
      <c r="K47" s="2">
        <f t="shared" si="25"/>
        <v>0</v>
      </c>
      <c r="L47" s="2">
        <f t="shared" si="25"/>
        <v>-12839.75</v>
      </c>
      <c r="M47" s="2">
        <f t="shared" si="25"/>
        <v>0</v>
      </c>
      <c r="N47" s="2">
        <f t="shared" si="25"/>
        <v>-12839.75</v>
      </c>
    </row>
    <row r="48" spans="2:14" x14ac:dyDescent="0.3">
      <c r="B48" s="3">
        <v>8</v>
      </c>
      <c r="C48" s="3" t="s">
        <v>75</v>
      </c>
      <c r="D48" s="2">
        <f t="shared" si="23"/>
        <v>0</v>
      </c>
      <c r="E48" s="2">
        <v>0</v>
      </c>
      <c r="F48" s="2">
        <f t="shared" si="26"/>
        <v>0</v>
      </c>
      <c r="G48" s="2">
        <f t="shared" si="25"/>
        <v>0</v>
      </c>
      <c r="H48" s="2">
        <f t="shared" si="25"/>
        <v>0</v>
      </c>
      <c r="I48" s="2">
        <f t="shared" si="25"/>
        <v>0</v>
      </c>
      <c r="J48" s="2">
        <f t="shared" si="25"/>
        <v>-3900</v>
      </c>
      <c r="K48" s="2">
        <f t="shared" si="25"/>
        <v>0</v>
      </c>
      <c r="L48" s="2">
        <f t="shared" si="25"/>
        <v>-3900</v>
      </c>
      <c r="M48" s="2">
        <f t="shared" si="25"/>
        <v>0</v>
      </c>
      <c r="N48" s="2">
        <f t="shared" si="25"/>
        <v>-3900</v>
      </c>
    </row>
    <row r="49" spans="2:14" x14ac:dyDescent="0.3">
      <c r="B49" s="3">
        <v>9</v>
      </c>
      <c r="C49" s="3" t="s">
        <v>76</v>
      </c>
      <c r="D49" s="2">
        <f t="shared" si="23"/>
        <v>0</v>
      </c>
      <c r="E49" s="2">
        <v>0</v>
      </c>
      <c r="F49" s="2">
        <f t="shared" si="26"/>
        <v>0</v>
      </c>
      <c r="G49" s="2">
        <f t="shared" si="25"/>
        <v>0</v>
      </c>
      <c r="H49" s="2">
        <f t="shared" si="25"/>
        <v>0</v>
      </c>
      <c r="I49" s="2">
        <f t="shared" si="25"/>
        <v>0</v>
      </c>
      <c r="J49" s="2">
        <f t="shared" si="25"/>
        <v>-2028.75</v>
      </c>
      <c r="K49" s="2">
        <f t="shared" si="25"/>
        <v>0</v>
      </c>
      <c r="L49" s="2">
        <f t="shared" si="25"/>
        <v>-2028.75</v>
      </c>
      <c r="M49" s="2">
        <f t="shared" si="25"/>
        <v>0</v>
      </c>
      <c r="N49" s="2">
        <f t="shared" si="25"/>
        <v>-2028.75</v>
      </c>
    </row>
    <row r="50" spans="2:14" x14ac:dyDescent="0.3">
      <c r="B50" s="3">
        <v>10</v>
      </c>
      <c r="C50" s="3" t="s">
        <v>77</v>
      </c>
      <c r="D50" s="2">
        <f t="shared" si="23"/>
        <v>0</v>
      </c>
      <c r="E50" s="2">
        <v>0</v>
      </c>
      <c r="F50" s="2">
        <f t="shared" si="26"/>
        <v>0</v>
      </c>
      <c r="G50" s="2">
        <f t="shared" si="25"/>
        <v>0</v>
      </c>
      <c r="H50" s="2">
        <f t="shared" si="25"/>
        <v>0</v>
      </c>
      <c r="I50" s="2">
        <f t="shared" si="25"/>
        <v>0</v>
      </c>
      <c r="J50" s="2">
        <f t="shared" si="25"/>
        <v>-3131.25</v>
      </c>
      <c r="K50" s="2">
        <f t="shared" si="25"/>
        <v>0</v>
      </c>
      <c r="L50" s="2">
        <f t="shared" si="25"/>
        <v>-3131.25</v>
      </c>
      <c r="M50" s="2">
        <f t="shared" si="25"/>
        <v>0</v>
      </c>
      <c r="N50" s="2">
        <f t="shared" si="25"/>
        <v>-3131.25</v>
      </c>
    </row>
    <row r="51" spans="2:14" x14ac:dyDescent="0.3">
      <c r="B51" s="3">
        <v>11</v>
      </c>
      <c r="C51" s="3" t="s">
        <v>79</v>
      </c>
      <c r="D51" s="2">
        <f t="shared" si="23"/>
        <v>0</v>
      </c>
      <c r="E51" s="2">
        <v>0</v>
      </c>
      <c r="F51" s="2">
        <f t="shared" si="26"/>
        <v>0</v>
      </c>
      <c r="G51" s="2">
        <f t="shared" si="25"/>
        <v>0</v>
      </c>
      <c r="H51" s="2">
        <f t="shared" si="25"/>
        <v>0</v>
      </c>
      <c r="I51" s="2">
        <f t="shared" si="25"/>
        <v>0</v>
      </c>
      <c r="J51" s="2">
        <f t="shared" si="25"/>
        <v>-2500</v>
      </c>
      <c r="K51" s="2">
        <f t="shared" si="25"/>
        <v>0</v>
      </c>
      <c r="L51" s="2">
        <f t="shared" si="25"/>
        <v>-2500</v>
      </c>
      <c r="M51" s="2">
        <f t="shared" si="25"/>
        <v>0</v>
      </c>
      <c r="N51" s="2">
        <f t="shared" si="25"/>
        <v>-2500</v>
      </c>
    </row>
    <row r="52" spans="2:14" x14ac:dyDescent="0.3">
      <c r="B52" s="3">
        <v>12</v>
      </c>
      <c r="C52" s="3" t="s">
        <v>80</v>
      </c>
      <c r="D52" s="2">
        <f t="shared" si="23"/>
        <v>0</v>
      </c>
      <c r="E52" s="2">
        <v>0</v>
      </c>
      <c r="F52" s="2">
        <f t="shared" si="26"/>
        <v>0</v>
      </c>
      <c r="G52" s="2">
        <f t="shared" si="25"/>
        <v>0</v>
      </c>
      <c r="H52" s="2">
        <f t="shared" si="25"/>
        <v>0</v>
      </c>
      <c r="I52" s="2">
        <f t="shared" si="25"/>
        <v>0</v>
      </c>
      <c r="J52" s="2">
        <f t="shared" si="25"/>
        <v>-8643.2000000000007</v>
      </c>
      <c r="K52" s="2">
        <f t="shared" si="25"/>
        <v>0</v>
      </c>
      <c r="L52" s="2">
        <f t="shared" si="25"/>
        <v>-8643.1999999999971</v>
      </c>
      <c r="M52" s="2">
        <f t="shared" si="25"/>
        <v>0</v>
      </c>
      <c r="N52" s="2">
        <f t="shared" si="25"/>
        <v>-8643.1999999999971</v>
      </c>
    </row>
    <row r="53" spans="2:14" x14ac:dyDescent="0.3">
      <c r="B53" s="3">
        <v>13</v>
      </c>
      <c r="C53" s="3" t="s">
        <v>81</v>
      </c>
      <c r="D53" s="2">
        <f t="shared" si="23"/>
        <v>0</v>
      </c>
      <c r="E53" s="2">
        <v>0</v>
      </c>
      <c r="F53" s="2">
        <f t="shared" si="26"/>
        <v>0</v>
      </c>
      <c r="G53" s="2">
        <f t="shared" si="25"/>
        <v>0</v>
      </c>
      <c r="H53" s="2">
        <f t="shared" si="25"/>
        <v>0</v>
      </c>
      <c r="I53" s="2">
        <f t="shared" si="25"/>
        <v>0</v>
      </c>
      <c r="J53" s="2">
        <f t="shared" si="25"/>
        <v>-6138.75</v>
      </c>
      <c r="K53" s="2">
        <f t="shared" si="25"/>
        <v>0</v>
      </c>
      <c r="L53" s="2">
        <f t="shared" si="25"/>
        <v>-6138.75</v>
      </c>
      <c r="M53" s="2">
        <f t="shared" si="25"/>
        <v>0</v>
      </c>
      <c r="N53" s="2">
        <f t="shared" si="25"/>
        <v>-6138.75</v>
      </c>
    </row>
    <row r="54" spans="2:14" x14ac:dyDescent="0.3">
      <c r="B54" s="3">
        <v>14</v>
      </c>
      <c r="C54" s="3" t="s">
        <v>82</v>
      </c>
      <c r="D54" s="2">
        <f t="shared" si="23"/>
        <v>0</v>
      </c>
      <c r="E54" s="2">
        <v>0</v>
      </c>
      <c r="F54" s="2">
        <f t="shared" si="26"/>
        <v>0</v>
      </c>
      <c r="G54" s="2">
        <f t="shared" si="25"/>
        <v>0</v>
      </c>
      <c r="H54" s="2">
        <f t="shared" si="25"/>
        <v>0</v>
      </c>
      <c r="I54" s="2">
        <f t="shared" si="25"/>
        <v>0</v>
      </c>
      <c r="J54" s="2">
        <f t="shared" si="25"/>
        <v>0</v>
      </c>
      <c r="K54" s="2">
        <f t="shared" si="25"/>
        <v>0</v>
      </c>
      <c r="L54" s="2">
        <f t="shared" si="25"/>
        <v>0</v>
      </c>
      <c r="M54" s="2">
        <f t="shared" si="25"/>
        <v>0</v>
      </c>
      <c r="N54" s="2">
        <f t="shared" si="25"/>
        <v>0</v>
      </c>
    </row>
    <row r="55" spans="2:14" x14ac:dyDescent="0.3">
      <c r="B55" s="3">
        <v>15</v>
      </c>
      <c r="C55" s="3" t="s">
        <v>83</v>
      </c>
      <c r="D55" s="2">
        <f t="shared" si="23"/>
        <v>0</v>
      </c>
      <c r="E55" s="2">
        <v>0</v>
      </c>
      <c r="F55" s="2">
        <f t="shared" si="26"/>
        <v>0</v>
      </c>
      <c r="G55" s="2">
        <f t="shared" si="25"/>
        <v>0</v>
      </c>
      <c r="H55" s="2">
        <f t="shared" si="25"/>
        <v>0</v>
      </c>
      <c r="I55" s="2">
        <f t="shared" si="25"/>
        <v>0</v>
      </c>
      <c r="J55" s="2">
        <f t="shared" si="25"/>
        <v>-4467.7999999999956</v>
      </c>
      <c r="K55" s="2">
        <f t="shared" si="25"/>
        <v>0</v>
      </c>
      <c r="L55" s="2">
        <f t="shared" si="25"/>
        <v>-4467.8000000000029</v>
      </c>
      <c r="M55" s="2">
        <f t="shared" si="25"/>
        <v>0</v>
      </c>
      <c r="N55" s="2">
        <f t="shared" si="25"/>
        <v>-4467.8000000000029</v>
      </c>
    </row>
    <row r="56" spans="2:14" ht="13.5" thickBot="1" x14ac:dyDescent="0.35">
      <c r="B56" s="50"/>
      <c r="C56" s="50"/>
      <c r="D56" s="50">
        <f t="shared" ref="D56:M56" si="27">SUM(D41:D55)</f>
        <v>0</v>
      </c>
      <c r="E56" s="50">
        <f t="shared" si="27"/>
        <v>0</v>
      </c>
      <c r="F56" s="50">
        <f t="shared" si="27"/>
        <v>0</v>
      </c>
      <c r="G56" s="50">
        <f t="shared" si="27"/>
        <v>0</v>
      </c>
      <c r="H56" s="50">
        <f t="shared" si="27"/>
        <v>0</v>
      </c>
      <c r="I56" s="50">
        <f t="shared" si="27"/>
        <v>0</v>
      </c>
      <c r="J56" s="50">
        <f t="shared" si="27"/>
        <v>-46065.69999999999</v>
      </c>
      <c r="K56" s="50">
        <f t="shared" si="27"/>
        <v>0</v>
      </c>
      <c r="L56" s="50">
        <f t="shared" si="27"/>
        <v>-46065.7</v>
      </c>
      <c r="M56" s="50">
        <f t="shared" si="27"/>
        <v>0</v>
      </c>
      <c r="N56" s="50">
        <f>SUM(N41:N55)</f>
        <v>-46065.7</v>
      </c>
    </row>
    <row r="57" spans="2:14" ht="13.5" thickTop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183F-6456-42D5-8D47-915EF3043FDC}">
  <dimension ref="A1:D11"/>
  <sheetViews>
    <sheetView topLeftCell="A2" workbookViewId="0">
      <selection sqref="A1:D11"/>
    </sheetView>
  </sheetViews>
  <sheetFormatPr defaultRowHeight="14.5" x14ac:dyDescent="0.35"/>
  <cols>
    <col min="1" max="1" width="6" bestFit="1" customWidth="1"/>
    <col min="2" max="2" width="14.6328125" bestFit="1" customWidth="1"/>
    <col min="3" max="3" width="14.90625" customWidth="1"/>
    <col min="4" max="4" width="19.90625" customWidth="1"/>
  </cols>
  <sheetData>
    <row r="1" spans="1:4" ht="58" x14ac:dyDescent="0.35">
      <c r="A1" s="53" t="s">
        <v>5</v>
      </c>
      <c r="B1" s="53" t="s">
        <v>97</v>
      </c>
      <c r="C1" s="56" t="s">
        <v>98</v>
      </c>
      <c r="D1" s="53" t="s">
        <v>99</v>
      </c>
    </row>
    <row r="2" spans="1:4" ht="29" x14ac:dyDescent="0.35">
      <c r="A2" s="53">
        <v>1</v>
      </c>
      <c r="B2" s="53" t="s">
        <v>72</v>
      </c>
      <c r="C2" s="54">
        <v>2416.1999999999998</v>
      </c>
      <c r="D2" s="56" t="s">
        <v>100</v>
      </c>
    </row>
    <row r="3" spans="1:4" ht="29" x14ac:dyDescent="0.35">
      <c r="A3" s="53">
        <v>2</v>
      </c>
      <c r="B3" s="53" t="s">
        <v>74</v>
      </c>
      <c r="C3" s="54">
        <v>12839.75</v>
      </c>
      <c r="D3" s="56" t="s">
        <v>100</v>
      </c>
    </row>
    <row r="4" spans="1:4" ht="29" x14ac:dyDescent="0.35">
      <c r="A4" s="53">
        <v>3</v>
      </c>
      <c r="B4" s="53" t="s">
        <v>75</v>
      </c>
      <c r="C4" s="54">
        <v>3900</v>
      </c>
      <c r="D4" s="56" t="s">
        <v>100</v>
      </c>
    </row>
    <row r="5" spans="1:4" ht="29" x14ac:dyDescent="0.35">
      <c r="A5" s="53">
        <v>4</v>
      </c>
      <c r="B5" s="53" t="s">
        <v>76</v>
      </c>
      <c r="C5" s="54">
        <v>2028.75</v>
      </c>
      <c r="D5" s="56" t="s">
        <v>100</v>
      </c>
    </row>
    <row r="6" spans="1:4" ht="29" x14ac:dyDescent="0.35">
      <c r="A6" s="53">
        <v>5</v>
      </c>
      <c r="B6" s="53" t="s">
        <v>77</v>
      </c>
      <c r="C6" s="55">
        <v>3131.25</v>
      </c>
      <c r="D6" s="56" t="s">
        <v>100</v>
      </c>
    </row>
    <row r="7" spans="1:4" ht="29" x14ac:dyDescent="0.35">
      <c r="A7" s="53">
        <v>6</v>
      </c>
      <c r="B7" s="53" t="s">
        <v>79</v>
      </c>
      <c r="C7" s="54">
        <v>2500</v>
      </c>
      <c r="D7" s="56" t="s">
        <v>100</v>
      </c>
    </row>
    <row r="8" spans="1:4" ht="29" x14ac:dyDescent="0.35">
      <c r="A8" s="53">
        <v>7</v>
      </c>
      <c r="B8" s="53" t="s">
        <v>80</v>
      </c>
      <c r="C8" s="54">
        <v>8643.2000000000007</v>
      </c>
      <c r="D8" s="56" t="s">
        <v>100</v>
      </c>
    </row>
    <row r="9" spans="1:4" ht="29" x14ac:dyDescent="0.35">
      <c r="A9" s="53">
        <v>8</v>
      </c>
      <c r="B9" s="53" t="s">
        <v>81</v>
      </c>
      <c r="C9" s="54">
        <v>6138.75</v>
      </c>
      <c r="D9" s="56" t="s">
        <v>100</v>
      </c>
    </row>
    <row r="10" spans="1:4" ht="29" x14ac:dyDescent="0.35">
      <c r="A10" s="53">
        <v>9</v>
      </c>
      <c r="B10" s="53" t="s">
        <v>83</v>
      </c>
      <c r="C10" s="54">
        <v>4467.8</v>
      </c>
      <c r="D10" s="56" t="s">
        <v>100</v>
      </c>
    </row>
    <row r="11" spans="1:4" x14ac:dyDescent="0.35">
      <c r="A11" s="53"/>
      <c r="B11" s="53" t="s">
        <v>4</v>
      </c>
      <c r="C11" s="54">
        <v>46065.7</v>
      </c>
      <c r="D11" s="5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C5D0-6A7B-4EEC-B721-1D930B8B18C1}">
  <dimension ref="A2:B2"/>
  <sheetViews>
    <sheetView tabSelected="1" workbookViewId="0">
      <selection activeCell="B3" sqref="B3"/>
    </sheetView>
  </sheetViews>
  <sheetFormatPr defaultRowHeight="14.5" x14ac:dyDescent="0.35"/>
  <sheetData>
    <row r="2" spans="1:2" x14ac:dyDescent="0.35">
      <c r="A2">
        <v>1</v>
      </c>
      <c r="B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 pay recomputation</vt:lpstr>
      <vt:lpstr>Pension Computation</vt:lpstr>
      <vt:lpstr>Sheet3</vt:lpstr>
      <vt:lpstr>Remittance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Mukiria Mwita</dc:creator>
  <cp:lastModifiedBy>Fred Omondi Ouma</cp:lastModifiedBy>
  <dcterms:created xsi:type="dcterms:W3CDTF">2015-06-05T18:17:20Z</dcterms:created>
  <dcterms:modified xsi:type="dcterms:W3CDTF">2026-03-17T13:58:56Z</dcterms:modified>
</cp:coreProperties>
</file>